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ngy\Documents\Codex\2026-06-21\excel-excel-2\outputs\"/>
    </mc:Choice>
  </mc:AlternateContent>
  <xr:revisionPtr revIDLastSave="0" documentId="13_ncr:20001_{1C6CAFB7-89AA-43C3-AD27-7725C6A29F9A}" xr6:coauthVersionLast="47" xr6:coauthVersionMax="47" xr10:uidLastSave="{00000000-0000-0000-0000-000000000000}"/>
  <bookViews>
    <workbookView xWindow="43080" yWindow="-120" windowWidth="29040" windowHeight="15720" activeTab="3" xr2:uid="{00000000-000D-0000-FFFF-FFFF00000000}"/>
  </bookViews>
  <sheets>
    <sheet name="START_HERE" sheetId="1" r:id="rId1"/>
    <sheet name="Customer_Master" sheetId="2" r:id="rId2"/>
    <sheet name="Job_Execution" sheetId="3" r:id="rId3"/>
    <sheet name="Today_Dashboard" sheetId="4" r:id="rId4"/>
    <sheet name="SETUP_Dictionary" sheetId="5" r:id="rId5"/>
  </sheets>
  <definedNames>
    <definedName name="lst_Customer_ID">Customer_Master!$B$8:$B$57</definedName>
    <definedName name="lst_Frequency">SETUP_Dictionary!$B$6:$B$9</definedName>
    <definedName name="lst_Job_Status">SETUP_Dictionary!$H$6:$H$9</definedName>
    <definedName name="lst_Profile_Status">SETUP_Dictionary!$D$6:$D$7</definedName>
    <definedName name="lst_Team_Member">SETUP_Dictionary!$F$6:$F$8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 a="1"/>
  <c r="B17" i="4" s="1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C11" i="4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C9" i="4"/>
  <c r="C8" i="4"/>
  <c r="C7" i="4"/>
  <c r="C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Primary key. Keep each Customer_ID unique.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Formula-driven field. Do not overwrite unless intentionally overriding the workflow.</t>
        </r>
      </text>
    </comment>
    <comment ref="F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Formula-driven field. Do not overwrite unless intentionally overriding the workflow.</t>
        </r>
      </text>
    </comment>
    <comment ref="G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Formula-driven field. Do not overwrite unless intentionally overriding the workflow.</t>
        </r>
      </text>
    </comment>
    <comment ref="H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Formula-driven field. Do not overwrite unless intentionally overriding the workflow.</t>
        </r>
      </text>
    </comment>
    <comment ref="M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Formula-driven field. Do not overwrite unless intentionally overriding the workflow.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<sst xmlns="http://schemas.openxmlformats.org/spreadsheetml/2006/main" count="160" uniqueCount="108">
  <si>
    <t>Start Here</t>
  </si>
  <si>
    <t>Customer Master</t>
  </si>
  <si>
    <t>Job Execution</t>
  </si>
  <si>
    <t>Today Dashboard</t>
  </si>
  <si>
    <t>Lawn Care Field Service Operations Console</t>
  </si>
  <si>
    <t>Purpose</t>
  </si>
  <si>
    <t>Mobile-friendly operating workbook for a 3-person lawn care team: customer records, daily dispatch execution, and today's control dashboard.</t>
  </si>
  <si>
    <t>Workbook Map</t>
  </si>
  <si>
    <t>Customer_Master</t>
  </si>
  <si>
    <t>Static customer master data maintained by the owner.</t>
  </si>
  <si>
    <t>Job_Execution</t>
  </si>
  <si>
    <t>Daily dispatch ledger updated by the owner and field team.</t>
  </si>
  <si>
    <t>Today_Dashboard</t>
  </si>
  <si>
    <t>Formula-driven daily progress, revenue, and exception view.</t>
  </si>
  <si>
    <t>SETUP_Dictionary</t>
  </si>
  <si>
    <t>Hidden validation list source for dropdown controls.</t>
  </si>
  <si>
    <t>Post-Generation Checklist</t>
  </si>
  <si>
    <t>Step 1</t>
  </si>
  <si>
    <t>Open the workbook in Microsoft Excel 365 or Excel 2024.</t>
  </si>
  <si>
    <t>Step 2</t>
  </si>
  <si>
    <t>Confirm formulas recalculate on open. XLOOKUP and FILTER are intentionally preserved.</t>
  </si>
  <si>
    <t>Step 3</t>
  </si>
  <si>
    <t>Replace gray dashboard placeholders with native Excel chart/slicer/progress components if needed.</t>
  </si>
  <si>
    <t>Step 4</t>
  </si>
  <si>
    <t>Share the workbook through OneDrive/Excel Online if mobile field updates are required.</t>
  </si>
  <si>
    <t>Step 5</t>
  </si>
  <si>
    <t>Protect Customer_Master before sharing with employees; keep Job_Execution editable for field status updates.</t>
  </si>
  <si>
    <t>Owner-maintained static customer records</t>
  </si>
  <si>
    <t>Customer_ID</t>
  </si>
  <si>
    <t>Customer_Name</t>
  </si>
  <si>
    <t>Service_Address</t>
  </si>
  <si>
    <t>Phone</t>
  </si>
  <si>
    <t>Service_Frequency</t>
  </si>
  <si>
    <t>Standard_Rate</t>
  </si>
  <si>
    <t>Default_Service</t>
  </si>
  <si>
    <t>Special_Notes</t>
  </si>
  <si>
    <t>Profile_Status</t>
  </si>
  <si>
    <t>C0001</t>
  </si>
  <si>
    <t>Mr. Smith</t>
  </si>
  <si>
    <t>128 Oak Ridge Lane</t>
  </si>
  <si>
    <t>555-0101</t>
  </si>
  <si>
    <t>Weekly</t>
  </si>
  <si>
    <t>Mow, Edge &amp; Blow</t>
  </si>
  <si>
    <t>Back gate code 1234. Dog in yard.</t>
  </si>
  <si>
    <t>Active</t>
  </si>
  <si>
    <t>C0002</t>
  </si>
  <si>
    <t>Ms. Johnson</t>
  </si>
  <si>
    <t>44 Maple Court</t>
  </si>
  <si>
    <t>555-0102</t>
  </si>
  <si>
    <t>Bi-weekly</t>
  </si>
  <si>
    <t>Mow, Edge, Hedge Trim</t>
  </si>
  <si>
    <t>Call before arrival.</t>
  </si>
  <si>
    <t>C0003</t>
  </si>
  <si>
    <t>Greenfield HOA</t>
  </si>
  <si>
    <t>900 Greenfield Drive</t>
  </si>
  <si>
    <t>555-0103</t>
  </si>
  <si>
    <t>Common-area mowing and cleanup</t>
  </si>
  <si>
    <t>Avoid sprinkler heads near entrance.</t>
  </si>
  <si>
    <t>C0004</t>
  </si>
  <si>
    <t>Mr. Garcia</t>
  </si>
  <si>
    <t>72 Pine Street</t>
  </si>
  <si>
    <t>555-0104</t>
  </si>
  <si>
    <t>Monthly</t>
  </si>
  <si>
    <t>Mow, Edge &amp; Weed Control</t>
  </si>
  <si>
    <t>Side gate often locked.</t>
  </si>
  <si>
    <t>C0005</t>
  </si>
  <si>
    <t>Vacant Lot - East</t>
  </si>
  <si>
    <t>15 Meadow Road</t>
  </si>
  <si>
    <t>555-0105</t>
  </si>
  <si>
    <t>One-time</t>
  </si>
  <si>
    <t>Overgrowth cutback</t>
  </si>
  <si>
    <t>Send photo before leaving.</t>
  </si>
  <si>
    <t>Inactive</t>
  </si>
  <si>
    <t>Daily dispatch and field execution ledger</t>
  </si>
  <si>
    <t>Job_ID</t>
  </si>
  <si>
    <t>Job_Date</t>
  </si>
  <si>
    <t>Service_Details</t>
  </si>
  <si>
    <t>Customer_Special_Notes</t>
  </si>
  <si>
    <t>Assigned_To</t>
  </si>
  <si>
    <t>Job_Status</t>
  </si>
  <si>
    <t>Completion_Time</t>
  </si>
  <si>
    <t>Field_Notes_Exception</t>
  </si>
  <si>
    <t>Amount_Collected</t>
  </si>
  <si>
    <t>J-20260621-01</t>
  </si>
  <si>
    <t>Employee A</t>
  </si>
  <si>
    <t>Completed</t>
  </si>
  <si>
    <t>Front and back completed.</t>
  </si>
  <si>
    <t>J-20260621-02</t>
  </si>
  <si>
    <t>Employee B</t>
  </si>
  <si>
    <t>In Service</t>
  </si>
  <si>
    <t>J-20260621-03</t>
  </si>
  <si>
    <t>Owner</t>
  </si>
  <si>
    <t>Pending</t>
  </si>
  <si>
    <t>J-20260621-04</t>
  </si>
  <si>
    <t>Skipped/Exception</t>
  </si>
  <si>
    <t>Gate locked; reschedule required.</t>
  </si>
  <si>
    <t>Core operating metrics</t>
  </si>
  <si>
    <t>Today's Total Jobs</t>
  </si>
  <si>
    <t>[CHART PLACEHOLDER - Progress Bar / Donut]
Source: Today_Dashboard metrics C7:C11
Purpose: visual completion progress and exception signal
Manual step: Insert native Excel progress/donut component here; use #2251FF for completed and #D32F2F for exceptions.</t>
  </si>
  <si>
    <t>Completed Jobs</t>
  </si>
  <si>
    <t>Exception Jobs</t>
  </si>
  <si>
    <t>Completion Rate</t>
  </si>
  <si>
    <t>Estimated Revenue</t>
  </si>
  <si>
    <t>Real-time task queue</t>
  </si>
  <si>
    <t>[SLICER PLACEHOLDER]
Field: Job_Status / Assigned_To
Connect to a PivotTable built from tbl_Jobs after insertion.
Manual step: Insert PivotTable + slicers if interactive filtering is required.</t>
  </si>
  <si>
    <t>Setup Dictionary</t>
  </si>
  <si>
    <t>Frequency</t>
  </si>
  <si>
    <t>Team_Member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</si>
</sst>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$#,##0.00"/>
    <numFmt numFmtId="167" formatCode="hh:mm"/>
    <numFmt numFmtId="168" formatCode="0.0%"/>
    <numFmt numFmtId="170" formatCode="[$-F400]h:mm:ss\ AM/PM"/>
    <numFmt numFmtId="171" formatCode="0;\-0;;@"/>
  </numFmts>
  <fonts count="8" x14ac:knownFonts="1">
    <font>
      <sz val="11"/>
      <color theme="1"/>
      <name val="Calibri"/>
      <family val="2"/>
      <scheme val="minor"/>
    </font>
    <font>
      <sz val="11"/>
      <color rgb="FF1A1A2E"/>
      <name val="等线"/>
    </font>
    <font>
      <b/>
      <sz val="12"/>
      <color rgb="FFF5F5F2"/>
      <name val="Garamond"/>
      <family val="1"/>
    </font>
    <font>
      <b/>
      <sz val="24"/>
      <color rgb="FF051C2C"/>
      <name val="Garamond"/>
      <family val="1"/>
    </font>
    <font>
      <b/>
      <sz val="16"/>
      <color rgb="FF051C2C"/>
      <name val="Garamond"/>
      <family val="1"/>
    </font>
    <font>
      <b/>
      <sz val="12"/>
      <color rgb="FF051C2C"/>
      <name val="Garamond"/>
      <family val="1"/>
    </font>
    <font>
      <b/>
      <sz val="14"/>
      <color rgb="FF051C2C"/>
      <name val="等线"/>
    </font>
    <font>
      <i/>
      <sz val="10"/>
      <color rgb="FF1A1A2E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rgb="FFF5F5F2"/>
      </patternFill>
    </fill>
    <fill>
      <patternFill patternType="solid">
        <fgColor rgb="FF051C2C"/>
      </patternFill>
    </fill>
    <fill>
      <patternFill patternType="solid">
        <fgColor rgb="FF2251FF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251FF"/>
      </bottom>
      <diagonal/>
    </border>
    <border>
      <left/>
      <right/>
      <top/>
      <bottom style="thin">
        <color rgb="FFF5F5F2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 applyProtection="1">
      <alignment vertical="center" wrapText="1"/>
      <protection locked="0"/>
    </xf>
    <xf numFmtId="164" fontId="1" fillId="6" borderId="2" xfId="0" applyNumberFormat="1" applyFont="1" applyFill="1" applyBorder="1" applyAlignment="1" applyProtection="1">
      <alignment vertical="center" wrapText="1"/>
      <protection locked="0"/>
    </xf>
    <xf numFmtId="0" fontId="1" fillId="2" borderId="2" xfId="0" applyFont="1" applyFill="1" applyBorder="1" applyAlignment="1">
      <alignment vertical="center" wrapText="1"/>
    </xf>
    <xf numFmtId="167" fontId="1" fillId="6" borderId="2" xfId="0" applyNumberFormat="1" applyFont="1" applyFill="1" applyBorder="1" applyAlignment="1" applyProtection="1">
      <alignment vertical="center" wrapText="1"/>
      <protection locked="0"/>
    </xf>
    <xf numFmtId="0" fontId="1" fillId="5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168" fontId="6" fillId="5" borderId="0" xfId="0" applyNumberFormat="1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/>
    <xf numFmtId="0" fontId="7" fillId="7" borderId="3" xfId="0" applyFont="1" applyFill="1" applyBorder="1" applyAlignment="1">
      <alignment horizontal="center" vertical="center" wrapText="1"/>
    </xf>
    <xf numFmtId="0" fontId="0" fillId="7" borderId="3" xfId="0" applyFill="1" applyBorder="1"/>
    <xf numFmtId="14" fontId="1" fillId="6" borderId="2" xfId="0" applyNumberFormat="1" applyFont="1" applyFill="1" applyBorder="1" applyAlignment="1" applyProtection="1">
      <alignment vertical="center" wrapText="1"/>
      <protection locked="0"/>
    </xf>
    <xf numFmtId="170" fontId="1" fillId="5" borderId="2" xfId="0" applyNumberFormat="1" applyFont="1" applyFill="1" applyBorder="1" applyAlignment="1">
      <alignment vertical="center" wrapText="1"/>
    </xf>
    <xf numFmtId="170" fontId="1" fillId="2" borderId="2" xfId="0" applyNumberFormat="1" applyFont="1" applyFill="1" applyBorder="1" applyAlignment="1">
      <alignment vertical="center" wrapText="1"/>
    </xf>
    <xf numFmtId="171" fontId="1" fillId="5" borderId="2" xfId="0" applyNumberFormat="1" applyFont="1" applyFill="1" applyBorder="1" applyAlignment="1">
      <alignment vertical="center" wrapText="1"/>
    </xf>
    <xf numFmtId="171" fontId="1" fillId="2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2">
    <dxf>
      <numFmt numFmtId="164" formatCode="\$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font>
        <b/>
        <color rgb="FF888888"/>
      </font>
    </dxf>
    <dxf>
      <font>
        <b/>
        <color rgb="FFD32F2F"/>
      </font>
    </dxf>
    <dxf>
      <font>
        <b/>
        <color rgb="FF00C853"/>
      </font>
    </dxf>
    <dxf>
      <font>
        <b/>
        <color rgb="FF888888"/>
      </font>
    </dxf>
    <dxf>
      <font>
        <b/>
        <color rgb="FFD32F2F"/>
      </font>
    </dxf>
    <dxf>
      <font>
        <b/>
        <color rgb="FF00C853"/>
      </font>
    </dxf>
  </dxfs>
  <tableStyles count="1" defaultTableStyle="TableStyleMedium9" defaultPivotStyle="PivotStyleLight16">
    <tableStyle name="Invisible" pivot="0" table="0" count="0" xr9:uid="{678DF226-B615-4A00-87B8-A10AAEFCBA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ustomers" displayName="tbl_Customers" ref="B7:J57">
  <autoFilter ref="B7:J57" xr:uid="{00000000-0009-0000-0100-000001000000}"/>
  <tableColumns count="9">
    <tableColumn id="2" xr3:uid="{00000000-0010-0000-0000-000002000000}" name="Customer_ID"/>
    <tableColumn id="3" xr3:uid="{00000000-0010-0000-0000-000003000000}" name="Customer_Name"/>
    <tableColumn id="4" xr3:uid="{00000000-0010-0000-0000-000004000000}" name="Service_Address"/>
    <tableColumn id="5" xr3:uid="{00000000-0010-0000-0000-000005000000}" name="Phone"/>
    <tableColumn id="6" xr3:uid="{00000000-0010-0000-0000-000006000000}" name="Service_Frequency"/>
    <tableColumn id="7" xr3:uid="{00000000-0010-0000-0000-000007000000}" name="Standard_Rate"/>
    <tableColumn id="8" xr3:uid="{00000000-0010-0000-0000-000008000000}" name="Default_Service"/>
    <tableColumn id="9" xr3:uid="{00000000-0010-0000-0000-000009000000}" name="Special_Notes"/>
    <tableColumn id="10" xr3:uid="{00000000-0010-0000-0000-00000A000000}" name="Profile_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Jobs" displayName="tbl_Jobs" ref="B7:M127">
  <autoFilter ref="B7:M127" xr:uid="{00000000-0009-0000-0100-000002000000}"/>
  <tableColumns count="12">
    <tableColumn id="2" xr3:uid="{00000000-0010-0000-0100-000002000000}" name="Job_ID"/>
    <tableColumn id="3" xr3:uid="{00000000-0010-0000-0100-000003000000}" name="Job_Date" dataDxfId="5"/>
    <tableColumn id="4" xr3:uid="{00000000-0010-0000-0100-000004000000}" name="Customer_ID"/>
    <tableColumn id="5" xr3:uid="{00000000-0010-0000-0100-000005000000}" name="Customer_Name" dataDxfId="4">
      <calculatedColumnFormula>IF(tbl_Jobs[[#This Row],[Customer_ID]]="","",_xlfn.XLOOKUP(tbl_Jobs[[#This Row],[Customer_ID]],tbl_Customers[Customer_ID],tbl_Customers[Customer_Name],"Not matched"))</calculatedColumnFormula>
    </tableColumn>
    <tableColumn id="6" xr3:uid="{00000000-0010-0000-0100-000006000000}" name="Service_Address" dataDxfId="3">
      <calculatedColumnFormula>IF(tbl_Jobs[[#This Row],[Customer_ID]]="","",_xlfn.XLOOKUP(tbl_Jobs[[#This Row],[Customer_ID]],tbl_Customers[Customer_ID],tbl_Customers[Service_Address],"Not matched"))</calculatedColumnFormula>
    </tableColumn>
    <tableColumn id="7" xr3:uid="{00000000-0010-0000-0100-000007000000}" name="Service_Details" dataDxfId="2">
      <calculatedColumnFormula>IF(tbl_Jobs[[#This Row],[Customer_ID]]="","",_xlfn.XLOOKUP(tbl_Jobs[[#This Row],[Customer_ID]],tbl_Customers[Customer_ID],tbl_Customers[Default_Service],"Not matched"))</calculatedColumnFormula>
    </tableColumn>
    <tableColumn id="8" xr3:uid="{00000000-0010-0000-0100-000008000000}" name="Customer_Special_Notes" dataDxfId="1">
      <calculatedColumnFormula>IF(tbl_Jobs[[#This Row],[Customer_ID]]="","",_xlfn.XLOOKUP(tbl_Jobs[[#This Row],[Customer_ID]],tbl_Customers[Customer_ID],tbl_Customers[Special_Notes],""))</calculatedColumnFormula>
    </tableColumn>
    <tableColumn id="9" xr3:uid="{00000000-0010-0000-0100-000009000000}" name="Assigned_To"/>
    <tableColumn id="10" xr3:uid="{00000000-0010-0000-0100-00000A000000}" name="Job_Status"/>
    <tableColumn id="11" xr3:uid="{00000000-0010-0000-0100-00000B000000}" name="Completion_Time"/>
    <tableColumn id="12" xr3:uid="{00000000-0010-0000-0100-00000C000000}" name="Field_Notes_Exception"/>
    <tableColumn id="13" xr3:uid="{00000000-0010-0000-0100-00000D000000}" name="Amount_Collected" dataDxfId="0">
      <calculatedColumnFormula>IF(tbl_Jobs[[#This Row],[Customer_ID]]="","",_xlfn.XLOOKUP(tbl_Jobs[[#This Row],[Customer_ID]],tbl_Customers[Customer_ID],tbl_Customers[Standard_Rate],0))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nfig_Frequency" displayName="tbl_Config_Frequency" ref="B5:B9">
  <autoFilter ref="B5:B9" xr:uid="{00000000-0009-0000-0100-000003000000}"/>
  <tableColumns count="1">
    <tableColumn id="2" xr3:uid="{00000000-0010-0000-0200-000002000000}" name="Frequen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fig_Profile_Status" displayName="tbl_Config_Profile_Status" ref="D5:D7">
  <autoFilter ref="D5:D7" xr:uid="{00000000-0009-0000-0100-000004000000}"/>
  <tableColumns count="1">
    <tableColumn id="4" xr3:uid="{00000000-0010-0000-0300-000004000000}" name="Profile_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nfig_Team_Member" displayName="tbl_Config_Team_Member" ref="F5:F8">
  <autoFilter ref="F5:F8" xr:uid="{00000000-0009-0000-0100-000005000000}"/>
  <tableColumns count="1">
    <tableColumn id="6" xr3:uid="{00000000-0010-0000-0400-000006000000}" name="Team_Memb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onfig_Job_Status" displayName="tbl_Config_Job_Status" ref="H5:H9">
  <autoFilter ref="H5:H9" xr:uid="{00000000-0009-0000-0100-000006000000}"/>
  <tableColumns count="1">
    <tableColumn id="8" xr3:uid="{00000000-0010-0000-0500-000008000000}" name="Job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22" customWidth="1"/>
    <col min="3" max="3" width="95" customWidth="1"/>
    <col min="4" max="5" width="18" customWidth="1"/>
  </cols>
  <sheetData>
    <row r="1" spans="1:16" ht="24" customHeight="1" x14ac:dyDescent="0.45">
      <c r="A1" s="1"/>
      <c r="B1" s="2" t="s">
        <v>0</v>
      </c>
      <c r="C1" s="3"/>
      <c r="D1" s="3"/>
      <c r="E1" s="4" t="s">
        <v>1</v>
      </c>
      <c r="F1" s="3"/>
      <c r="G1" s="3"/>
      <c r="H1" s="4" t="s">
        <v>2</v>
      </c>
      <c r="I1" s="3"/>
      <c r="J1" s="3"/>
      <c r="K1" s="4" t="s">
        <v>3</v>
      </c>
      <c r="L1" s="3"/>
      <c r="M1" s="3"/>
      <c r="N1" s="1"/>
      <c r="O1" s="1"/>
      <c r="P1" s="1"/>
    </row>
    <row r="2" spans="1:16" ht="24" customHeight="1" x14ac:dyDescent="0.45">
      <c r="A2" s="1"/>
      <c r="B2" s="16" t="s">
        <v>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  <c r="N2" s="1"/>
      <c r="O2" s="1"/>
      <c r="P2" s="1"/>
    </row>
    <row r="3" spans="1:16" ht="24" customHeight="1" x14ac:dyDescent="0.45">
      <c r="A3" s="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"/>
      <c r="N3" s="1"/>
      <c r="O3" s="1"/>
      <c r="P3" s="1"/>
    </row>
    <row r="4" spans="1:16" ht="14.4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45" customHeight="1" x14ac:dyDescent="0.45">
      <c r="A5" s="1"/>
      <c r="B5" s="5" t="s">
        <v>5</v>
      </c>
      <c r="C5" s="1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4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45" customHeight="1" x14ac:dyDescent="0.45">
      <c r="A7" s="1"/>
      <c r="B7" s="5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45" customHeight="1" x14ac:dyDescent="0.45">
      <c r="A8" s="1"/>
      <c r="B8" s="1" t="s">
        <v>8</v>
      </c>
      <c r="C8" s="1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4.45" customHeight="1" x14ac:dyDescent="0.45">
      <c r="A9" s="1"/>
      <c r="B9" s="1" t="s">
        <v>10</v>
      </c>
      <c r="C9" s="1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4.45" customHeight="1" x14ac:dyDescent="0.45">
      <c r="A10" s="1"/>
      <c r="B10" s="1" t="s">
        <v>12</v>
      </c>
      <c r="C10" s="1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45" customHeight="1" x14ac:dyDescent="0.45">
      <c r="A11" s="1"/>
      <c r="B11" s="1" t="s">
        <v>14</v>
      </c>
      <c r="C11" s="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4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4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45" customHeight="1" x14ac:dyDescent="0.45">
      <c r="A14" s="1"/>
      <c r="B14" s="5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45" customHeight="1" x14ac:dyDescent="0.45">
      <c r="A15" s="1"/>
      <c r="B15" s="1" t="s">
        <v>17</v>
      </c>
      <c r="C15" s="1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45" customHeight="1" x14ac:dyDescent="0.45">
      <c r="A16" s="1"/>
      <c r="B16" s="1" t="s">
        <v>19</v>
      </c>
      <c r="C16" s="1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5" customHeight="1" x14ac:dyDescent="0.45">
      <c r="A17" s="1"/>
      <c r="B17" s="1" t="s">
        <v>21</v>
      </c>
      <c r="C17" s="1" t="s">
        <v>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45" customHeight="1" x14ac:dyDescent="0.45">
      <c r="A18" s="1"/>
      <c r="B18" s="1" t="s">
        <v>23</v>
      </c>
      <c r="C18" s="1" t="s">
        <v>24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45" customHeight="1" x14ac:dyDescent="0.45">
      <c r="A19" s="1"/>
      <c r="B19" s="1" t="s">
        <v>25</v>
      </c>
      <c r="C19" s="1" t="s">
        <v>26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4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4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4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4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4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4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4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4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4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4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4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4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4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4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4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4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4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4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4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4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4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4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4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4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4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4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4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4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4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4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4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4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4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4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4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4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4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4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4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4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4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4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4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4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4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4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4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4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4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4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4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4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4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4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4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4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4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4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4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4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4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4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4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4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4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4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4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4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4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4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4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4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4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4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4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4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4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4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4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4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4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4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4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4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4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4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4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4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4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4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4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4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4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4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4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4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4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4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4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4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4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4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4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4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4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4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4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4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4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4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4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4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4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4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4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4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4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4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4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4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4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4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4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4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4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4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4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4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4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4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4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4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4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4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4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4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4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4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4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4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4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4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4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4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4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4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4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4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4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4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4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4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4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4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4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4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4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4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4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4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4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4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4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4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4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4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4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4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4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4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4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4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4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4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4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4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4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4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4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4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4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4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4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4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4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4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4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4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4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4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4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4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4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4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</sheetData>
  <mergeCells count="1">
    <mergeCell ref="B2:L3"/>
  </mergeCells>
  <hyperlinks>
    <hyperlink ref="B1" location="START_HERE!B2" display="Start Here" xr:uid="{00000000-0004-0000-0000-000000000000}"/>
    <hyperlink ref="E1" location="Customer_Master!B2" display="Customer Master" xr:uid="{00000000-0004-0000-0000-000001000000}"/>
    <hyperlink ref="H1" location="Job_Execution!B2" display="Job Execution" xr:uid="{00000000-0004-0000-0000-000002000000}"/>
    <hyperlink ref="K1" location="Today_Dashboard!B2" display="Today Dashboard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1C2C"/>
  </sheetPr>
  <dimension ref="A1:P2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  <col min="2" max="2" width="14" customWidth="1"/>
    <col min="3" max="3" width="20" customWidth="1"/>
    <col min="4" max="4" width="38" customWidth="1"/>
    <col min="5" max="6" width="18" customWidth="1"/>
    <col min="7" max="7" width="14" customWidth="1"/>
    <col min="8" max="8" width="28" customWidth="1"/>
    <col min="9" max="9" width="42" customWidth="1"/>
    <col min="10" max="10" width="16" customWidth="1"/>
  </cols>
  <sheetData>
    <row r="1" spans="1:16" ht="24" customHeight="1" x14ac:dyDescent="0.45">
      <c r="A1" s="1"/>
      <c r="B1" s="4" t="s">
        <v>0</v>
      </c>
      <c r="C1" s="3"/>
      <c r="D1" s="3"/>
      <c r="E1" s="2" t="s">
        <v>1</v>
      </c>
      <c r="F1" s="3"/>
      <c r="G1" s="3"/>
      <c r="H1" s="4" t="s">
        <v>2</v>
      </c>
      <c r="I1" s="3"/>
      <c r="J1" s="3"/>
      <c r="K1" s="4" t="s">
        <v>3</v>
      </c>
      <c r="L1" s="3"/>
      <c r="M1" s="3"/>
      <c r="N1" s="1"/>
      <c r="O1" s="1"/>
      <c r="P1" s="1"/>
    </row>
    <row r="2" spans="1:16" ht="24" customHeight="1" x14ac:dyDescent="0.45">
      <c r="A2" s="1"/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</row>
    <row r="3" spans="1:16" ht="24" customHeight="1" x14ac:dyDescent="0.45">
      <c r="A3" s="1"/>
      <c r="B3" s="17"/>
      <c r="C3" s="17"/>
      <c r="D3" s="17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</row>
    <row r="4" spans="1:16" ht="14.4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45" customHeight="1" x14ac:dyDescent="0.45">
      <c r="A5" s="1"/>
      <c r="B5" s="5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4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6" customHeight="1" x14ac:dyDescent="0.45">
      <c r="A7" s="1"/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  <c r="I7" s="6" t="s">
        <v>35</v>
      </c>
      <c r="J7" s="6" t="s">
        <v>36</v>
      </c>
      <c r="K7" s="1"/>
      <c r="L7" s="1"/>
      <c r="M7" s="1"/>
      <c r="N7" s="1"/>
      <c r="O7" s="1"/>
      <c r="P7" s="1"/>
    </row>
    <row r="8" spans="1:16" ht="14.45" customHeight="1" x14ac:dyDescent="0.45">
      <c r="A8" s="1"/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8">
        <v>65</v>
      </c>
      <c r="H8" s="7" t="s">
        <v>42</v>
      </c>
      <c r="I8" s="7" t="s">
        <v>43</v>
      </c>
      <c r="J8" s="7" t="s">
        <v>44</v>
      </c>
      <c r="K8" s="1"/>
      <c r="L8" s="1"/>
      <c r="M8" s="1"/>
      <c r="N8" s="1"/>
      <c r="O8" s="1"/>
      <c r="P8" s="1"/>
    </row>
    <row r="9" spans="1:16" ht="14.45" customHeight="1" x14ac:dyDescent="0.45">
      <c r="A9" s="1"/>
      <c r="B9" s="7" t="s">
        <v>45</v>
      </c>
      <c r="C9" s="7" t="s">
        <v>46</v>
      </c>
      <c r="D9" s="7" t="s">
        <v>47</v>
      </c>
      <c r="E9" s="7" t="s">
        <v>48</v>
      </c>
      <c r="F9" s="7" t="s">
        <v>49</v>
      </c>
      <c r="G9" s="8">
        <v>80</v>
      </c>
      <c r="H9" s="7" t="s">
        <v>50</v>
      </c>
      <c r="I9" s="7" t="s">
        <v>51</v>
      </c>
      <c r="J9" s="7" t="s">
        <v>44</v>
      </c>
      <c r="K9" s="1"/>
      <c r="L9" s="1"/>
      <c r="M9" s="1"/>
      <c r="N9" s="1"/>
      <c r="O9" s="1"/>
      <c r="P9" s="1"/>
    </row>
    <row r="10" spans="1:16" ht="14.45" customHeight="1" x14ac:dyDescent="0.45">
      <c r="A10" s="1"/>
      <c r="B10" s="7" t="s">
        <v>52</v>
      </c>
      <c r="C10" s="7" t="s">
        <v>53</v>
      </c>
      <c r="D10" s="7" t="s">
        <v>54</v>
      </c>
      <c r="E10" s="7" t="s">
        <v>55</v>
      </c>
      <c r="F10" s="7" t="s">
        <v>41</v>
      </c>
      <c r="G10" s="8">
        <v>145</v>
      </c>
      <c r="H10" s="7" t="s">
        <v>56</v>
      </c>
      <c r="I10" s="7" t="s">
        <v>57</v>
      </c>
      <c r="J10" s="7" t="s">
        <v>44</v>
      </c>
      <c r="K10" s="1"/>
      <c r="L10" s="1"/>
      <c r="M10" s="1"/>
      <c r="N10" s="1"/>
      <c r="O10" s="1"/>
      <c r="P10" s="1"/>
    </row>
    <row r="11" spans="1:16" ht="14.45" customHeight="1" x14ac:dyDescent="0.45">
      <c r="A11" s="1"/>
      <c r="B11" s="7" t="s">
        <v>58</v>
      </c>
      <c r="C11" s="7" t="s">
        <v>59</v>
      </c>
      <c r="D11" s="7" t="s">
        <v>60</v>
      </c>
      <c r="E11" s="7" t="s">
        <v>61</v>
      </c>
      <c r="F11" s="7" t="s">
        <v>62</v>
      </c>
      <c r="G11" s="8">
        <v>95</v>
      </c>
      <c r="H11" s="7" t="s">
        <v>63</v>
      </c>
      <c r="I11" s="7" t="s">
        <v>64</v>
      </c>
      <c r="J11" s="7" t="s">
        <v>44</v>
      </c>
      <c r="K11" s="1"/>
      <c r="L11" s="1"/>
      <c r="M11" s="1"/>
      <c r="N11" s="1"/>
      <c r="O11" s="1"/>
      <c r="P11" s="1"/>
    </row>
    <row r="12" spans="1:16" ht="14.45" customHeight="1" x14ac:dyDescent="0.45">
      <c r="A12" s="1"/>
      <c r="B12" s="7" t="s">
        <v>65</v>
      </c>
      <c r="C12" s="7" t="s">
        <v>66</v>
      </c>
      <c r="D12" s="7" t="s">
        <v>67</v>
      </c>
      <c r="E12" s="7" t="s">
        <v>68</v>
      </c>
      <c r="F12" s="7" t="s">
        <v>69</v>
      </c>
      <c r="G12" s="8">
        <v>120</v>
      </c>
      <c r="H12" s="7" t="s">
        <v>70</v>
      </c>
      <c r="I12" s="7" t="s">
        <v>71</v>
      </c>
      <c r="J12" s="7" t="s">
        <v>72</v>
      </c>
      <c r="K12" s="1"/>
      <c r="L12" s="1"/>
      <c r="M12" s="1"/>
      <c r="N12" s="1"/>
      <c r="O12" s="1"/>
      <c r="P12" s="1"/>
    </row>
    <row r="13" spans="1:16" ht="14.45" customHeight="1" x14ac:dyDescent="0.45">
      <c r="A13" s="1"/>
      <c r="B13" s="7"/>
      <c r="C13" s="7"/>
      <c r="D13" s="7"/>
      <c r="E13" s="7"/>
      <c r="F13" s="7"/>
      <c r="G13" s="8"/>
      <c r="H13" s="7"/>
      <c r="I13" s="7"/>
      <c r="J13" s="7"/>
      <c r="K13" s="1"/>
      <c r="L13" s="1"/>
      <c r="M13" s="1"/>
      <c r="N13" s="1"/>
      <c r="O13" s="1"/>
      <c r="P13" s="1"/>
    </row>
    <row r="14" spans="1:16" ht="14.45" customHeight="1" x14ac:dyDescent="0.45">
      <c r="A14" s="1"/>
      <c r="B14" s="7"/>
      <c r="C14" s="7"/>
      <c r="D14" s="7"/>
      <c r="E14" s="7"/>
      <c r="F14" s="7"/>
      <c r="G14" s="8"/>
      <c r="H14" s="7"/>
      <c r="I14" s="7"/>
      <c r="J14" s="7"/>
      <c r="K14" s="1"/>
      <c r="L14" s="1"/>
      <c r="M14" s="1"/>
      <c r="N14" s="1"/>
      <c r="O14" s="1"/>
      <c r="P14" s="1"/>
    </row>
    <row r="15" spans="1:16" ht="14.45" customHeight="1" x14ac:dyDescent="0.45">
      <c r="A15" s="1"/>
      <c r="B15" s="7"/>
      <c r="C15" s="7"/>
      <c r="D15" s="7"/>
      <c r="E15" s="7"/>
      <c r="F15" s="7"/>
      <c r="G15" s="8"/>
      <c r="H15" s="7"/>
      <c r="I15" s="7"/>
      <c r="J15" s="7"/>
      <c r="K15" s="1"/>
      <c r="L15" s="1"/>
      <c r="M15" s="1"/>
      <c r="N15" s="1"/>
      <c r="O15" s="1"/>
      <c r="P15" s="1"/>
    </row>
    <row r="16" spans="1:16" ht="14.45" customHeight="1" x14ac:dyDescent="0.45">
      <c r="A16" s="1"/>
      <c r="B16" s="7"/>
      <c r="C16" s="7"/>
      <c r="D16" s="7"/>
      <c r="E16" s="7"/>
      <c r="F16" s="7"/>
      <c r="G16" s="8"/>
      <c r="H16" s="7"/>
      <c r="I16" s="7"/>
      <c r="J16" s="7"/>
      <c r="K16" s="1"/>
      <c r="L16" s="1"/>
      <c r="M16" s="1"/>
      <c r="N16" s="1"/>
      <c r="O16" s="1"/>
      <c r="P16" s="1"/>
    </row>
    <row r="17" spans="1:16" ht="14.45" customHeight="1" x14ac:dyDescent="0.45">
      <c r="A17" s="1"/>
      <c r="B17" s="7"/>
      <c r="C17" s="7"/>
      <c r="D17" s="7"/>
      <c r="E17" s="7"/>
      <c r="F17" s="7"/>
      <c r="G17" s="8"/>
      <c r="H17" s="7"/>
      <c r="I17" s="7"/>
      <c r="J17" s="7"/>
      <c r="K17" s="1"/>
      <c r="L17" s="1"/>
      <c r="M17" s="1"/>
      <c r="N17" s="1"/>
      <c r="O17" s="1"/>
      <c r="P17" s="1"/>
    </row>
    <row r="18" spans="1:16" ht="14.45" customHeight="1" x14ac:dyDescent="0.45">
      <c r="A18" s="1"/>
      <c r="B18" s="7"/>
      <c r="C18" s="7"/>
      <c r="D18" s="7"/>
      <c r="E18" s="7"/>
      <c r="F18" s="7"/>
      <c r="G18" s="8"/>
      <c r="H18" s="7"/>
      <c r="I18" s="7"/>
      <c r="J18" s="7"/>
      <c r="K18" s="1"/>
      <c r="L18" s="1"/>
      <c r="M18" s="1"/>
      <c r="N18" s="1"/>
      <c r="O18" s="1"/>
      <c r="P18" s="1"/>
    </row>
    <row r="19" spans="1:16" ht="14.45" customHeight="1" x14ac:dyDescent="0.45">
      <c r="A19" s="1"/>
      <c r="B19" s="7"/>
      <c r="C19" s="7"/>
      <c r="D19" s="7"/>
      <c r="E19" s="7"/>
      <c r="F19" s="7"/>
      <c r="G19" s="8"/>
      <c r="H19" s="7"/>
      <c r="I19" s="7"/>
      <c r="J19" s="7"/>
      <c r="K19" s="1"/>
      <c r="L19" s="1"/>
      <c r="M19" s="1"/>
      <c r="N19" s="1"/>
      <c r="O19" s="1"/>
      <c r="P19" s="1"/>
    </row>
    <row r="20" spans="1:16" ht="14.45" customHeight="1" x14ac:dyDescent="0.45">
      <c r="A20" s="1"/>
      <c r="B20" s="7"/>
      <c r="C20" s="7"/>
      <c r="D20" s="7"/>
      <c r="E20" s="7"/>
      <c r="F20" s="7"/>
      <c r="G20" s="8"/>
      <c r="H20" s="7"/>
      <c r="I20" s="7"/>
      <c r="J20" s="7"/>
      <c r="K20" s="1"/>
      <c r="L20" s="1"/>
      <c r="M20" s="1"/>
      <c r="N20" s="1"/>
      <c r="O20" s="1"/>
      <c r="P20" s="1"/>
    </row>
    <row r="21" spans="1:16" ht="14.45" customHeight="1" x14ac:dyDescent="0.45">
      <c r="A21" s="1"/>
      <c r="B21" s="7"/>
      <c r="C21" s="7"/>
      <c r="D21" s="7"/>
      <c r="E21" s="7"/>
      <c r="F21" s="7"/>
      <c r="G21" s="8"/>
      <c r="H21" s="7"/>
      <c r="I21" s="7"/>
      <c r="J21" s="7"/>
      <c r="K21" s="1"/>
      <c r="L21" s="1"/>
      <c r="M21" s="1"/>
      <c r="N21" s="1"/>
      <c r="O21" s="1"/>
      <c r="P21" s="1"/>
    </row>
    <row r="22" spans="1:16" ht="14.45" customHeight="1" x14ac:dyDescent="0.45">
      <c r="A22" s="1"/>
      <c r="B22" s="7"/>
      <c r="C22" s="7"/>
      <c r="D22" s="7"/>
      <c r="E22" s="7"/>
      <c r="F22" s="7"/>
      <c r="G22" s="8"/>
      <c r="H22" s="7"/>
      <c r="I22" s="7"/>
      <c r="J22" s="7"/>
      <c r="K22" s="1"/>
      <c r="L22" s="1"/>
      <c r="M22" s="1"/>
      <c r="N22" s="1"/>
      <c r="O22" s="1"/>
      <c r="P22" s="1"/>
    </row>
    <row r="23" spans="1:16" ht="14.45" customHeight="1" x14ac:dyDescent="0.45">
      <c r="A23" s="1"/>
      <c r="B23" s="7"/>
      <c r="C23" s="7"/>
      <c r="D23" s="7"/>
      <c r="E23" s="7"/>
      <c r="F23" s="7"/>
      <c r="G23" s="8"/>
      <c r="H23" s="7"/>
      <c r="I23" s="7"/>
      <c r="J23" s="7"/>
      <c r="K23" s="1"/>
      <c r="L23" s="1"/>
      <c r="M23" s="1"/>
      <c r="N23" s="1"/>
      <c r="O23" s="1"/>
      <c r="P23" s="1"/>
    </row>
    <row r="24" spans="1:16" ht="14.45" customHeight="1" x14ac:dyDescent="0.45">
      <c r="A24" s="1"/>
      <c r="B24" s="7"/>
      <c r="C24" s="7"/>
      <c r="D24" s="7"/>
      <c r="E24" s="7"/>
      <c r="F24" s="7"/>
      <c r="G24" s="8"/>
      <c r="H24" s="7"/>
      <c r="I24" s="7"/>
      <c r="J24" s="7"/>
      <c r="K24" s="1"/>
      <c r="L24" s="1"/>
      <c r="M24" s="1"/>
      <c r="N24" s="1"/>
      <c r="O24" s="1"/>
      <c r="P24" s="1"/>
    </row>
    <row r="25" spans="1:16" ht="14.45" customHeight="1" x14ac:dyDescent="0.45">
      <c r="A25" s="1"/>
      <c r="B25" s="7"/>
      <c r="C25" s="7"/>
      <c r="D25" s="7"/>
      <c r="E25" s="7"/>
      <c r="F25" s="7"/>
      <c r="G25" s="8"/>
      <c r="H25" s="7"/>
      <c r="I25" s="7"/>
      <c r="J25" s="7"/>
      <c r="K25" s="1"/>
      <c r="L25" s="1"/>
      <c r="M25" s="1"/>
      <c r="N25" s="1"/>
      <c r="O25" s="1"/>
      <c r="P25" s="1"/>
    </row>
    <row r="26" spans="1:16" ht="14.45" customHeight="1" x14ac:dyDescent="0.45">
      <c r="A26" s="1"/>
      <c r="B26" s="7"/>
      <c r="C26" s="7"/>
      <c r="D26" s="7"/>
      <c r="E26" s="7"/>
      <c r="F26" s="7"/>
      <c r="G26" s="8"/>
      <c r="H26" s="7"/>
      <c r="I26" s="7"/>
      <c r="J26" s="7"/>
      <c r="K26" s="1"/>
      <c r="L26" s="1"/>
      <c r="M26" s="1"/>
      <c r="N26" s="1"/>
      <c r="O26" s="1"/>
      <c r="P26" s="1"/>
    </row>
    <row r="27" spans="1:16" ht="14.45" customHeight="1" x14ac:dyDescent="0.45">
      <c r="A27" s="1"/>
      <c r="B27" s="7"/>
      <c r="C27" s="7"/>
      <c r="D27" s="7"/>
      <c r="E27" s="7"/>
      <c r="F27" s="7"/>
      <c r="G27" s="8"/>
      <c r="H27" s="7"/>
      <c r="I27" s="7"/>
      <c r="J27" s="7"/>
      <c r="K27" s="1"/>
      <c r="L27" s="1"/>
      <c r="M27" s="1"/>
      <c r="N27" s="1"/>
      <c r="O27" s="1"/>
      <c r="P27" s="1"/>
    </row>
    <row r="28" spans="1:16" ht="14.45" customHeight="1" x14ac:dyDescent="0.45">
      <c r="A28" s="1"/>
      <c r="B28" s="7"/>
      <c r="C28" s="7"/>
      <c r="D28" s="7"/>
      <c r="E28" s="7"/>
      <c r="F28" s="7"/>
      <c r="G28" s="8"/>
      <c r="H28" s="7"/>
      <c r="I28" s="7"/>
      <c r="J28" s="7"/>
      <c r="K28" s="1"/>
      <c r="L28" s="1"/>
      <c r="M28" s="1"/>
      <c r="N28" s="1"/>
      <c r="O28" s="1"/>
      <c r="P28" s="1"/>
    </row>
    <row r="29" spans="1:16" ht="14.45" customHeight="1" x14ac:dyDescent="0.45">
      <c r="A29" s="1"/>
      <c r="B29" s="7"/>
      <c r="C29" s="7"/>
      <c r="D29" s="7"/>
      <c r="E29" s="7"/>
      <c r="F29" s="7"/>
      <c r="G29" s="8"/>
      <c r="H29" s="7"/>
      <c r="I29" s="7"/>
      <c r="J29" s="7"/>
      <c r="K29" s="1"/>
      <c r="L29" s="1"/>
      <c r="M29" s="1"/>
      <c r="N29" s="1"/>
      <c r="O29" s="1"/>
      <c r="P29" s="1"/>
    </row>
    <row r="30" spans="1:16" ht="14.45" customHeight="1" x14ac:dyDescent="0.45">
      <c r="A30" s="1"/>
      <c r="B30" s="7"/>
      <c r="C30" s="7"/>
      <c r="D30" s="7"/>
      <c r="E30" s="7"/>
      <c r="F30" s="7"/>
      <c r="G30" s="8"/>
      <c r="H30" s="7"/>
      <c r="I30" s="7"/>
      <c r="J30" s="7"/>
      <c r="K30" s="1"/>
      <c r="L30" s="1"/>
      <c r="M30" s="1"/>
      <c r="N30" s="1"/>
      <c r="O30" s="1"/>
      <c r="P30" s="1"/>
    </row>
    <row r="31" spans="1:16" ht="14.45" customHeight="1" x14ac:dyDescent="0.45">
      <c r="A31" s="1"/>
      <c r="B31" s="7"/>
      <c r="C31" s="7"/>
      <c r="D31" s="7"/>
      <c r="E31" s="7"/>
      <c r="F31" s="7"/>
      <c r="G31" s="8"/>
      <c r="H31" s="7"/>
      <c r="I31" s="7"/>
      <c r="J31" s="7"/>
      <c r="K31" s="1"/>
      <c r="L31" s="1"/>
      <c r="M31" s="1"/>
      <c r="N31" s="1"/>
      <c r="O31" s="1"/>
      <c r="P31" s="1"/>
    </row>
    <row r="32" spans="1:16" ht="14.45" customHeight="1" x14ac:dyDescent="0.45">
      <c r="A32" s="1"/>
      <c r="B32" s="7"/>
      <c r="C32" s="7"/>
      <c r="D32" s="7"/>
      <c r="E32" s="7"/>
      <c r="F32" s="7"/>
      <c r="G32" s="8"/>
      <c r="H32" s="7"/>
      <c r="I32" s="7"/>
      <c r="J32" s="7"/>
      <c r="K32" s="1"/>
      <c r="L32" s="1"/>
      <c r="M32" s="1"/>
      <c r="N32" s="1"/>
      <c r="O32" s="1"/>
      <c r="P32" s="1"/>
    </row>
    <row r="33" spans="1:16" ht="14.45" customHeight="1" x14ac:dyDescent="0.45">
      <c r="A33" s="1"/>
      <c r="B33" s="7"/>
      <c r="C33" s="7"/>
      <c r="D33" s="7"/>
      <c r="E33" s="7"/>
      <c r="F33" s="7"/>
      <c r="G33" s="8"/>
      <c r="H33" s="7"/>
      <c r="I33" s="7"/>
      <c r="J33" s="7"/>
      <c r="K33" s="1"/>
      <c r="L33" s="1"/>
      <c r="M33" s="1"/>
      <c r="N33" s="1"/>
      <c r="O33" s="1"/>
      <c r="P33" s="1"/>
    </row>
    <row r="34" spans="1:16" ht="14.45" customHeight="1" x14ac:dyDescent="0.45">
      <c r="A34" s="1"/>
      <c r="B34" s="7"/>
      <c r="C34" s="7"/>
      <c r="D34" s="7"/>
      <c r="E34" s="7"/>
      <c r="F34" s="7"/>
      <c r="G34" s="8"/>
      <c r="H34" s="7"/>
      <c r="I34" s="7"/>
      <c r="J34" s="7"/>
      <c r="K34" s="1"/>
      <c r="L34" s="1"/>
      <c r="M34" s="1"/>
      <c r="N34" s="1"/>
      <c r="O34" s="1"/>
      <c r="P34" s="1"/>
    </row>
    <row r="35" spans="1:16" ht="14.45" customHeight="1" x14ac:dyDescent="0.45">
      <c r="A35" s="1"/>
      <c r="B35" s="7"/>
      <c r="C35" s="7"/>
      <c r="D35" s="7"/>
      <c r="E35" s="7"/>
      <c r="F35" s="7"/>
      <c r="G35" s="8"/>
      <c r="H35" s="7"/>
      <c r="I35" s="7"/>
      <c r="J35" s="7"/>
      <c r="K35" s="1"/>
      <c r="L35" s="1"/>
      <c r="M35" s="1"/>
      <c r="N35" s="1"/>
      <c r="O35" s="1"/>
      <c r="P35" s="1"/>
    </row>
    <row r="36" spans="1:16" ht="14.45" customHeight="1" x14ac:dyDescent="0.45">
      <c r="A36" s="1"/>
      <c r="B36" s="7"/>
      <c r="C36" s="7"/>
      <c r="D36" s="7"/>
      <c r="E36" s="7"/>
      <c r="F36" s="7"/>
      <c r="G36" s="8"/>
      <c r="H36" s="7"/>
      <c r="I36" s="7"/>
      <c r="J36" s="7"/>
      <c r="K36" s="1"/>
      <c r="L36" s="1"/>
      <c r="M36" s="1"/>
      <c r="N36" s="1"/>
      <c r="O36" s="1"/>
      <c r="P36" s="1"/>
    </row>
    <row r="37" spans="1:16" ht="14.45" customHeight="1" x14ac:dyDescent="0.45">
      <c r="A37" s="1"/>
      <c r="B37" s="7"/>
      <c r="C37" s="7"/>
      <c r="D37" s="7"/>
      <c r="E37" s="7"/>
      <c r="F37" s="7"/>
      <c r="G37" s="8"/>
      <c r="H37" s="7"/>
      <c r="I37" s="7"/>
      <c r="J37" s="7"/>
      <c r="K37" s="1"/>
      <c r="L37" s="1"/>
      <c r="M37" s="1"/>
      <c r="N37" s="1"/>
      <c r="O37" s="1"/>
      <c r="P37" s="1"/>
    </row>
    <row r="38" spans="1:16" ht="14.45" customHeight="1" x14ac:dyDescent="0.45">
      <c r="A38" s="1"/>
      <c r="B38" s="7"/>
      <c r="C38" s="7"/>
      <c r="D38" s="7"/>
      <c r="E38" s="7"/>
      <c r="F38" s="7"/>
      <c r="G38" s="8"/>
      <c r="H38" s="7"/>
      <c r="I38" s="7"/>
      <c r="J38" s="7"/>
      <c r="K38" s="1"/>
      <c r="L38" s="1"/>
      <c r="M38" s="1"/>
      <c r="N38" s="1"/>
      <c r="O38" s="1"/>
      <c r="P38" s="1"/>
    </row>
    <row r="39" spans="1:16" ht="14.45" customHeight="1" x14ac:dyDescent="0.45">
      <c r="A39" s="1"/>
      <c r="B39" s="7"/>
      <c r="C39" s="7"/>
      <c r="D39" s="7"/>
      <c r="E39" s="7"/>
      <c r="F39" s="7"/>
      <c r="G39" s="8"/>
      <c r="H39" s="7"/>
      <c r="I39" s="7"/>
      <c r="J39" s="7"/>
      <c r="K39" s="1"/>
      <c r="L39" s="1"/>
      <c r="M39" s="1"/>
      <c r="N39" s="1"/>
      <c r="O39" s="1"/>
      <c r="P39" s="1"/>
    </row>
    <row r="40" spans="1:16" ht="14.45" customHeight="1" x14ac:dyDescent="0.45">
      <c r="A40" s="1"/>
      <c r="B40" s="7"/>
      <c r="C40" s="7"/>
      <c r="D40" s="7"/>
      <c r="E40" s="7"/>
      <c r="F40" s="7"/>
      <c r="G40" s="8"/>
      <c r="H40" s="7"/>
      <c r="I40" s="7"/>
      <c r="J40" s="7"/>
      <c r="K40" s="1"/>
      <c r="L40" s="1"/>
      <c r="M40" s="1"/>
      <c r="N40" s="1"/>
      <c r="O40" s="1"/>
      <c r="P40" s="1"/>
    </row>
    <row r="41" spans="1:16" ht="14.45" customHeight="1" x14ac:dyDescent="0.45">
      <c r="A41" s="1"/>
      <c r="B41" s="7"/>
      <c r="C41" s="7"/>
      <c r="D41" s="7"/>
      <c r="E41" s="7"/>
      <c r="F41" s="7"/>
      <c r="G41" s="8"/>
      <c r="H41" s="7"/>
      <c r="I41" s="7"/>
      <c r="J41" s="7"/>
      <c r="K41" s="1"/>
      <c r="L41" s="1"/>
      <c r="M41" s="1"/>
      <c r="N41" s="1"/>
      <c r="O41" s="1"/>
      <c r="P41" s="1"/>
    </row>
    <row r="42" spans="1:16" ht="14.45" customHeight="1" x14ac:dyDescent="0.45">
      <c r="A42" s="1"/>
      <c r="B42" s="7"/>
      <c r="C42" s="7"/>
      <c r="D42" s="7"/>
      <c r="E42" s="7"/>
      <c r="F42" s="7"/>
      <c r="G42" s="8"/>
      <c r="H42" s="7"/>
      <c r="I42" s="7"/>
      <c r="J42" s="7"/>
      <c r="K42" s="1"/>
      <c r="L42" s="1"/>
      <c r="M42" s="1"/>
      <c r="N42" s="1"/>
      <c r="O42" s="1"/>
      <c r="P42" s="1"/>
    </row>
    <row r="43" spans="1:16" ht="14.45" customHeight="1" x14ac:dyDescent="0.45">
      <c r="A43" s="1"/>
      <c r="B43" s="7"/>
      <c r="C43" s="7"/>
      <c r="D43" s="7"/>
      <c r="E43" s="7"/>
      <c r="F43" s="7"/>
      <c r="G43" s="8"/>
      <c r="H43" s="7"/>
      <c r="I43" s="7"/>
      <c r="J43" s="7"/>
      <c r="K43" s="1"/>
      <c r="L43" s="1"/>
      <c r="M43" s="1"/>
      <c r="N43" s="1"/>
      <c r="O43" s="1"/>
      <c r="P43" s="1"/>
    </row>
    <row r="44" spans="1:16" ht="14.45" customHeight="1" x14ac:dyDescent="0.45">
      <c r="A44" s="1"/>
      <c r="B44" s="7"/>
      <c r="C44" s="7"/>
      <c r="D44" s="7"/>
      <c r="E44" s="7"/>
      <c r="F44" s="7"/>
      <c r="G44" s="8"/>
      <c r="H44" s="7"/>
      <c r="I44" s="7"/>
      <c r="J44" s="7"/>
      <c r="K44" s="1"/>
      <c r="L44" s="1"/>
      <c r="M44" s="1"/>
      <c r="N44" s="1"/>
      <c r="O44" s="1"/>
      <c r="P44" s="1"/>
    </row>
    <row r="45" spans="1:16" ht="14.45" customHeight="1" x14ac:dyDescent="0.45">
      <c r="A45" s="1"/>
      <c r="B45" s="7"/>
      <c r="C45" s="7"/>
      <c r="D45" s="7"/>
      <c r="E45" s="7"/>
      <c r="F45" s="7"/>
      <c r="G45" s="8"/>
      <c r="H45" s="7"/>
      <c r="I45" s="7"/>
      <c r="J45" s="7"/>
      <c r="K45" s="1"/>
      <c r="L45" s="1"/>
      <c r="M45" s="1"/>
      <c r="N45" s="1"/>
      <c r="O45" s="1"/>
      <c r="P45" s="1"/>
    </row>
    <row r="46" spans="1:16" ht="14.45" customHeight="1" x14ac:dyDescent="0.45">
      <c r="A46" s="1"/>
      <c r="B46" s="7"/>
      <c r="C46" s="7"/>
      <c r="D46" s="7"/>
      <c r="E46" s="7"/>
      <c r="F46" s="7"/>
      <c r="G46" s="8"/>
      <c r="H46" s="7"/>
      <c r="I46" s="7"/>
      <c r="J46" s="7"/>
      <c r="K46" s="1"/>
      <c r="L46" s="1"/>
      <c r="M46" s="1"/>
      <c r="N46" s="1"/>
      <c r="O46" s="1"/>
      <c r="P46" s="1"/>
    </row>
    <row r="47" spans="1:16" ht="14.45" customHeight="1" x14ac:dyDescent="0.45">
      <c r="A47" s="1"/>
      <c r="B47" s="7"/>
      <c r="C47" s="7"/>
      <c r="D47" s="7"/>
      <c r="E47" s="7"/>
      <c r="F47" s="7"/>
      <c r="G47" s="8"/>
      <c r="H47" s="7"/>
      <c r="I47" s="7"/>
      <c r="J47" s="7"/>
      <c r="K47" s="1"/>
      <c r="L47" s="1"/>
      <c r="M47" s="1"/>
      <c r="N47" s="1"/>
      <c r="O47" s="1"/>
      <c r="P47" s="1"/>
    </row>
    <row r="48" spans="1:16" ht="14.45" customHeight="1" x14ac:dyDescent="0.45">
      <c r="A48" s="1"/>
      <c r="B48" s="7"/>
      <c r="C48" s="7"/>
      <c r="D48" s="7"/>
      <c r="E48" s="7"/>
      <c r="F48" s="7"/>
      <c r="G48" s="8"/>
      <c r="H48" s="7"/>
      <c r="I48" s="7"/>
      <c r="J48" s="7"/>
      <c r="K48" s="1"/>
      <c r="L48" s="1"/>
      <c r="M48" s="1"/>
      <c r="N48" s="1"/>
      <c r="O48" s="1"/>
      <c r="P48" s="1"/>
    </row>
    <row r="49" spans="1:16" ht="14.45" customHeight="1" x14ac:dyDescent="0.45">
      <c r="A49" s="1"/>
      <c r="B49" s="7"/>
      <c r="C49" s="7"/>
      <c r="D49" s="7"/>
      <c r="E49" s="7"/>
      <c r="F49" s="7"/>
      <c r="G49" s="8"/>
      <c r="H49" s="7"/>
      <c r="I49" s="7"/>
      <c r="J49" s="7"/>
      <c r="K49" s="1"/>
      <c r="L49" s="1"/>
      <c r="M49" s="1"/>
      <c r="N49" s="1"/>
      <c r="O49" s="1"/>
      <c r="P49" s="1"/>
    </row>
    <row r="50" spans="1:16" ht="14.45" customHeight="1" x14ac:dyDescent="0.45">
      <c r="A50" s="1"/>
      <c r="B50" s="7"/>
      <c r="C50" s="7"/>
      <c r="D50" s="7"/>
      <c r="E50" s="7"/>
      <c r="F50" s="7"/>
      <c r="G50" s="8"/>
      <c r="H50" s="7"/>
      <c r="I50" s="7"/>
      <c r="J50" s="7"/>
      <c r="K50" s="1"/>
      <c r="L50" s="1"/>
      <c r="M50" s="1"/>
      <c r="N50" s="1"/>
      <c r="O50" s="1"/>
      <c r="P50" s="1"/>
    </row>
    <row r="51" spans="1:16" ht="14.45" customHeight="1" x14ac:dyDescent="0.45">
      <c r="A51" s="1"/>
      <c r="B51" s="7"/>
      <c r="C51" s="7"/>
      <c r="D51" s="7"/>
      <c r="E51" s="7"/>
      <c r="F51" s="7"/>
      <c r="G51" s="8"/>
      <c r="H51" s="7"/>
      <c r="I51" s="7"/>
      <c r="J51" s="7"/>
      <c r="K51" s="1"/>
      <c r="L51" s="1"/>
      <c r="M51" s="1"/>
      <c r="N51" s="1"/>
      <c r="O51" s="1"/>
      <c r="P51" s="1"/>
    </row>
    <row r="52" spans="1:16" ht="14.45" customHeight="1" x14ac:dyDescent="0.45">
      <c r="A52" s="1"/>
      <c r="B52" s="7"/>
      <c r="C52" s="7"/>
      <c r="D52" s="7"/>
      <c r="E52" s="7"/>
      <c r="F52" s="7"/>
      <c r="G52" s="8"/>
      <c r="H52" s="7"/>
      <c r="I52" s="7"/>
      <c r="J52" s="7"/>
      <c r="K52" s="1"/>
      <c r="L52" s="1"/>
      <c r="M52" s="1"/>
      <c r="N52" s="1"/>
      <c r="O52" s="1"/>
      <c r="P52" s="1"/>
    </row>
    <row r="53" spans="1:16" ht="14.45" customHeight="1" x14ac:dyDescent="0.45">
      <c r="A53" s="1"/>
      <c r="B53" s="7"/>
      <c r="C53" s="7"/>
      <c r="D53" s="7"/>
      <c r="E53" s="7"/>
      <c r="F53" s="7"/>
      <c r="G53" s="8"/>
      <c r="H53" s="7"/>
      <c r="I53" s="7"/>
      <c r="J53" s="7"/>
      <c r="K53" s="1"/>
      <c r="L53" s="1"/>
      <c r="M53" s="1"/>
      <c r="N53" s="1"/>
      <c r="O53" s="1"/>
      <c r="P53" s="1"/>
    </row>
    <row r="54" spans="1:16" ht="14.45" customHeight="1" x14ac:dyDescent="0.45">
      <c r="A54" s="1"/>
      <c r="B54" s="7"/>
      <c r="C54" s="7"/>
      <c r="D54" s="7"/>
      <c r="E54" s="7"/>
      <c r="F54" s="7"/>
      <c r="G54" s="8"/>
      <c r="H54" s="7"/>
      <c r="I54" s="7"/>
      <c r="J54" s="7"/>
      <c r="K54" s="1"/>
      <c r="L54" s="1"/>
      <c r="M54" s="1"/>
      <c r="N54" s="1"/>
      <c r="O54" s="1"/>
      <c r="P54" s="1"/>
    </row>
    <row r="55" spans="1:16" ht="14.45" customHeight="1" x14ac:dyDescent="0.45">
      <c r="A55" s="1"/>
      <c r="B55" s="7"/>
      <c r="C55" s="7"/>
      <c r="D55" s="7"/>
      <c r="E55" s="7"/>
      <c r="F55" s="7"/>
      <c r="G55" s="8"/>
      <c r="H55" s="7"/>
      <c r="I55" s="7"/>
      <c r="J55" s="7"/>
      <c r="K55" s="1"/>
      <c r="L55" s="1"/>
      <c r="M55" s="1"/>
      <c r="N55" s="1"/>
      <c r="O55" s="1"/>
      <c r="P55" s="1"/>
    </row>
    <row r="56" spans="1:16" ht="14.45" customHeight="1" x14ac:dyDescent="0.45">
      <c r="A56" s="1"/>
      <c r="B56" s="7"/>
      <c r="C56" s="7"/>
      <c r="D56" s="7"/>
      <c r="E56" s="7"/>
      <c r="F56" s="7"/>
      <c r="G56" s="8"/>
      <c r="H56" s="7"/>
      <c r="I56" s="7"/>
      <c r="J56" s="7"/>
      <c r="K56" s="1"/>
      <c r="L56" s="1"/>
      <c r="M56" s="1"/>
      <c r="N56" s="1"/>
      <c r="O56" s="1"/>
      <c r="P56" s="1"/>
    </row>
    <row r="57" spans="1:16" ht="14.45" customHeight="1" x14ac:dyDescent="0.45">
      <c r="A57" s="1"/>
      <c r="B57" s="7"/>
      <c r="C57" s="7"/>
      <c r="D57" s="7"/>
      <c r="E57" s="7"/>
      <c r="F57" s="7"/>
      <c r="G57" s="8"/>
      <c r="H57" s="7"/>
      <c r="I57" s="7"/>
      <c r="J57" s="7"/>
      <c r="K57" s="1"/>
      <c r="L57" s="1"/>
      <c r="M57" s="1"/>
      <c r="N57" s="1"/>
      <c r="O57" s="1"/>
      <c r="P57" s="1"/>
    </row>
    <row r="58" spans="1:16" ht="14.4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4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4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4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4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4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4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4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4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4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4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4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4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4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4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4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4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4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4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4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4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4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4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4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4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4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4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4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4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4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4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4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4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4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4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4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4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4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4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4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4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4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4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4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4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4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4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4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4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4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4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4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4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4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4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4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4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4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4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4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4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4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4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4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4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4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4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4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4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4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4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4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4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4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4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4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4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4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4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4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4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4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4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4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4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4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4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4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4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4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4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4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4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4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4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4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4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4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4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4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4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4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4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4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4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4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4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4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4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4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4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4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4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4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4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4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4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4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4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4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4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4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4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4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4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4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4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4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4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4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4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4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4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4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4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4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4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4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4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4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4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4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4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4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4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4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4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4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4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4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4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4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4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4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4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4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4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4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4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4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4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4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4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</sheetData>
  <mergeCells count="1">
    <mergeCell ref="B2:J3"/>
  </mergeCells>
  <dataValidations count="2">
    <dataValidation type="list" allowBlank="1" sqref="F8:F57" xr:uid="{00000000-0002-0000-0100-000000000000}">
      <formula1>lst_Frequency</formula1>
    </dataValidation>
    <dataValidation type="list" allowBlank="1" sqref="J8:J57" xr:uid="{00000000-0002-0000-0100-000001000000}">
      <formula1>lst_Profile_Status</formula1>
    </dataValidation>
  </dataValidations>
  <hyperlinks>
    <hyperlink ref="B1" location="START_HERE!B2" display="Start Here" xr:uid="{00000000-0004-0000-0100-000000000000}"/>
    <hyperlink ref="E1" location="Customer_Master!B2" display="Customer Master" xr:uid="{00000000-0004-0000-0100-000001000000}"/>
    <hyperlink ref="H1" location="Job_Execution!B2" display="Job Execution" xr:uid="{00000000-0004-0000-0100-000002000000}"/>
    <hyperlink ref="K1" location="Today_Dashboard!B2" display="Today Dashboard" xr:uid="{00000000-0004-0000-0100-000003000000}"/>
  </hyperlink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1C2C"/>
  </sheetPr>
  <dimension ref="A1:P220"/>
  <sheetViews>
    <sheetView showGridLines="0" workbookViewId="0">
      <pane xSplit="1" ySplit="4" topLeftCell="E5" activePane="bottomRight" state="frozen"/>
      <selection pane="topRight"/>
      <selection pane="bottomLeft"/>
      <selection pane="bottomRight" activeCell="K9" sqref="K9"/>
    </sheetView>
  </sheetViews>
  <sheetFormatPr defaultRowHeight="14.25" x14ac:dyDescent="0.45"/>
  <cols>
    <col min="1" max="1" width="2" customWidth="1"/>
    <col min="2" max="2" width="18" customWidth="1"/>
    <col min="3" max="4" width="14" customWidth="1"/>
    <col min="5" max="5" width="20" customWidth="1"/>
    <col min="6" max="6" width="38" customWidth="1"/>
    <col min="7" max="7" width="28" customWidth="1"/>
    <col min="8" max="8" width="42" customWidth="1"/>
    <col min="9" max="9" width="16" customWidth="1"/>
    <col min="10" max="10" width="20" customWidth="1"/>
    <col min="11" max="11" width="14" customWidth="1"/>
    <col min="12" max="12" width="42" customWidth="1"/>
    <col min="13" max="13" width="16" customWidth="1"/>
  </cols>
  <sheetData>
    <row r="1" spans="1:16" ht="24" customHeight="1" x14ac:dyDescent="0.45">
      <c r="A1" s="1"/>
      <c r="B1" s="4" t="s">
        <v>0</v>
      </c>
      <c r="C1" s="3"/>
      <c r="D1" s="3"/>
      <c r="E1" s="4" t="s">
        <v>1</v>
      </c>
      <c r="F1" s="3"/>
      <c r="G1" s="3"/>
      <c r="H1" s="2" t="s">
        <v>2</v>
      </c>
      <c r="I1" s="3"/>
      <c r="J1" s="3"/>
      <c r="K1" s="4" t="s">
        <v>3</v>
      </c>
      <c r="L1" s="3"/>
      <c r="M1" s="3"/>
      <c r="N1" s="1"/>
      <c r="O1" s="1"/>
      <c r="P1" s="1"/>
    </row>
    <row r="2" spans="1:16" ht="24" customHeight="1" x14ac:dyDescent="0.45">
      <c r="A2" s="1"/>
      <c r="B2" s="16" t="s">
        <v>2</v>
      </c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</row>
    <row r="3" spans="1:16" ht="24" customHeight="1" x14ac:dyDescent="0.45">
      <c r="A3" s="1"/>
      <c r="B3" s="17"/>
      <c r="C3" s="17"/>
      <c r="D3" s="17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</row>
    <row r="4" spans="1:16" ht="14.4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45" customHeight="1" x14ac:dyDescent="0.45">
      <c r="A5" s="1"/>
      <c r="B5" s="5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4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6" customHeight="1" x14ac:dyDescent="0.45">
      <c r="A7" s="1"/>
      <c r="B7" s="6" t="s">
        <v>74</v>
      </c>
      <c r="C7" s="6" t="s">
        <v>75</v>
      </c>
      <c r="D7" s="6" t="s">
        <v>28</v>
      </c>
      <c r="E7" s="6" t="s">
        <v>29</v>
      </c>
      <c r="F7" s="6" t="s">
        <v>30</v>
      </c>
      <c r="G7" s="6" t="s">
        <v>76</v>
      </c>
      <c r="H7" s="6" t="s">
        <v>77</v>
      </c>
      <c r="I7" s="6" t="s">
        <v>78</v>
      </c>
      <c r="J7" s="6" t="s">
        <v>79</v>
      </c>
      <c r="K7" s="6" t="s">
        <v>80</v>
      </c>
      <c r="L7" s="6" t="s">
        <v>81</v>
      </c>
      <c r="M7" s="6" t="s">
        <v>82</v>
      </c>
      <c r="N7" s="1"/>
      <c r="O7" s="1"/>
      <c r="P7" s="1"/>
    </row>
    <row r="8" spans="1:16" ht="14.45" customHeight="1" x14ac:dyDescent="0.45">
      <c r="A8" s="1"/>
      <c r="B8" s="7" t="s">
        <v>83</v>
      </c>
      <c r="C8" s="20">
        <v>46194</v>
      </c>
      <c r="D8" s="7" t="s">
        <v>37</v>
      </c>
      <c r="E8" s="9" t="str">
        <f>IF(tbl_Jobs[[#This Row],[Customer_ID]]="","",_xlfn.XLOOKUP(tbl_Jobs[[#This Row],[Customer_ID]],tbl_Customers[Customer_ID],tbl_Customers[Customer_Name],"Not matched"))</f>
        <v>Mr. Smith</v>
      </c>
      <c r="F8" s="9" t="str">
        <f>IF(tbl_Jobs[[#This Row],[Customer_ID]]="","",_xlfn.XLOOKUP(tbl_Jobs[[#This Row],[Customer_ID]],tbl_Customers[Customer_ID],tbl_Customers[Service_Address],"Not matched"))</f>
        <v>128 Oak Ridge Lane</v>
      </c>
      <c r="G8" s="9" t="str">
        <f>IF(tbl_Jobs[[#This Row],[Customer_ID]]="","",_xlfn.XLOOKUP(tbl_Jobs[[#This Row],[Customer_ID]],tbl_Customers[Customer_ID],tbl_Customers[Default_Service],"Not matched"))</f>
        <v>Mow, Edge &amp; Blow</v>
      </c>
      <c r="H8" s="9" t="str">
        <f>IF(tbl_Jobs[[#This Row],[Customer_ID]]="","",_xlfn.XLOOKUP(tbl_Jobs[[#This Row],[Customer_ID]],tbl_Customers[Customer_ID],tbl_Customers[Special_Notes],""))</f>
        <v>Back gate code 1234. Dog in yard.</v>
      </c>
      <c r="I8" s="7" t="s">
        <v>84</v>
      </c>
      <c r="J8" s="7" t="s">
        <v>85</v>
      </c>
      <c r="K8" s="10">
        <v>0.40625</v>
      </c>
      <c r="L8" s="7" t="s">
        <v>86</v>
      </c>
      <c r="M8" s="8">
        <f>IF(tbl_Jobs[[#This Row],[Customer_ID]]="","",_xlfn.XLOOKUP(tbl_Jobs[[#This Row],[Customer_ID]],tbl_Customers[Customer_ID],tbl_Customers[Standard_Rate],0))</f>
        <v>65</v>
      </c>
      <c r="N8" s="1"/>
      <c r="O8" s="1"/>
      <c r="P8" s="1"/>
    </row>
    <row r="9" spans="1:16" ht="14.45" customHeight="1" x14ac:dyDescent="0.45">
      <c r="A9" s="1"/>
      <c r="B9" s="7" t="s">
        <v>87</v>
      </c>
      <c r="C9" s="20">
        <v>46194</v>
      </c>
      <c r="D9" s="7" t="s">
        <v>45</v>
      </c>
      <c r="E9" s="11" t="str">
        <f>IF(tbl_Jobs[[#This Row],[Customer_ID]]="","",_xlfn.XLOOKUP(tbl_Jobs[[#This Row],[Customer_ID]],tbl_Customers[Customer_ID],tbl_Customers[Customer_Name],"Not matched"))</f>
        <v>Ms. Johnson</v>
      </c>
      <c r="F9" s="11" t="str">
        <f>IF(tbl_Jobs[[#This Row],[Customer_ID]]="","",_xlfn.XLOOKUP(tbl_Jobs[[#This Row],[Customer_ID]],tbl_Customers[Customer_ID],tbl_Customers[Service_Address],"Not matched"))</f>
        <v>44 Maple Court</v>
      </c>
      <c r="G9" s="11" t="str">
        <f>IF(tbl_Jobs[[#This Row],[Customer_ID]]="","",_xlfn.XLOOKUP(tbl_Jobs[[#This Row],[Customer_ID]],tbl_Customers[Customer_ID],tbl_Customers[Default_Service],"Not matched"))</f>
        <v>Mow, Edge, Hedge Trim</v>
      </c>
      <c r="H9" s="11" t="str">
        <f>IF(tbl_Jobs[[#This Row],[Customer_ID]]="","",_xlfn.XLOOKUP(tbl_Jobs[[#This Row],[Customer_ID]],tbl_Customers[Customer_ID],tbl_Customers[Special_Notes],""))</f>
        <v>Call before arrival.</v>
      </c>
      <c r="I9" s="7" t="s">
        <v>88</v>
      </c>
      <c r="J9" s="7" t="s">
        <v>89</v>
      </c>
      <c r="K9" s="10"/>
      <c r="L9" s="7"/>
      <c r="M9" s="8">
        <f>IF(tbl_Jobs[[#This Row],[Customer_ID]]="","",_xlfn.XLOOKUP(tbl_Jobs[[#This Row],[Customer_ID]],tbl_Customers[Customer_ID],tbl_Customers[Standard_Rate],0))</f>
        <v>80</v>
      </c>
      <c r="N9" s="1"/>
      <c r="O9" s="1"/>
      <c r="P9" s="1"/>
    </row>
    <row r="10" spans="1:16" ht="14.45" customHeight="1" x14ac:dyDescent="0.45">
      <c r="A10" s="1"/>
      <c r="B10" s="7" t="s">
        <v>90</v>
      </c>
      <c r="C10" s="20">
        <v>46194</v>
      </c>
      <c r="D10" s="7" t="s">
        <v>52</v>
      </c>
      <c r="E10" s="9" t="str">
        <f>IF(tbl_Jobs[[#This Row],[Customer_ID]]="","",_xlfn.XLOOKUP(tbl_Jobs[[#This Row],[Customer_ID]],tbl_Customers[Customer_ID],tbl_Customers[Customer_Name],"Not matched"))</f>
        <v>Greenfield HOA</v>
      </c>
      <c r="F10" s="9" t="str">
        <f>IF(tbl_Jobs[[#This Row],[Customer_ID]]="","",_xlfn.XLOOKUP(tbl_Jobs[[#This Row],[Customer_ID]],tbl_Customers[Customer_ID],tbl_Customers[Service_Address],"Not matched"))</f>
        <v>900 Greenfield Drive</v>
      </c>
      <c r="G10" s="9" t="str">
        <f>IF(tbl_Jobs[[#This Row],[Customer_ID]]="","",_xlfn.XLOOKUP(tbl_Jobs[[#This Row],[Customer_ID]],tbl_Customers[Customer_ID],tbl_Customers[Default_Service],"Not matched"))</f>
        <v>Common-area mowing and cleanup</v>
      </c>
      <c r="H10" s="9" t="str">
        <f>IF(tbl_Jobs[[#This Row],[Customer_ID]]="","",_xlfn.XLOOKUP(tbl_Jobs[[#This Row],[Customer_ID]],tbl_Customers[Customer_ID],tbl_Customers[Special_Notes],""))</f>
        <v>Avoid sprinkler heads near entrance.</v>
      </c>
      <c r="I10" s="7" t="s">
        <v>91</v>
      </c>
      <c r="J10" s="7" t="s">
        <v>92</v>
      </c>
      <c r="K10" s="10"/>
      <c r="L10" s="7"/>
      <c r="M10" s="8">
        <f>IF(tbl_Jobs[[#This Row],[Customer_ID]]="","",_xlfn.XLOOKUP(tbl_Jobs[[#This Row],[Customer_ID]],tbl_Customers[Customer_ID],tbl_Customers[Standard_Rate],0))</f>
        <v>145</v>
      </c>
      <c r="N10" s="1"/>
      <c r="O10" s="1"/>
      <c r="P10" s="1"/>
    </row>
    <row r="11" spans="1:16" ht="14.45" customHeight="1" x14ac:dyDescent="0.45">
      <c r="A11" s="1"/>
      <c r="B11" s="7" t="s">
        <v>93</v>
      </c>
      <c r="C11" s="20">
        <v>46194</v>
      </c>
      <c r="D11" s="7" t="s">
        <v>58</v>
      </c>
      <c r="E11" s="11" t="str">
        <f>IF(tbl_Jobs[[#This Row],[Customer_ID]]="","",_xlfn.XLOOKUP(tbl_Jobs[[#This Row],[Customer_ID]],tbl_Customers[Customer_ID],tbl_Customers[Customer_Name],"Not matched"))</f>
        <v>Mr. Garcia</v>
      </c>
      <c r="F11" s="11" t="str">
        <f>IF(tbl_Jobs[[#This Row],[Customer_ID]]="","",_xlfn.XLOOKUP(tbl_Jobs[[#This Row],[Customer_ID]],tbl_Customers[Customer_ID],tbl_Customers[Service_Address],"Not matched"))</f>
        <v>72 Pine Street</v>
      </c>
      <c r="G11" s="11" t="str">
        <f>IF(tbl_Jobs[[#This Row],[Customer_ID]]="","",_xlfn.XLOOKUP(tbl_Jobs[[#This Row],[Customer_ID]],tbl_Customers[Customer_ID],tbl_Customers[Default_Service],"Not matched"))</f>
        <v>Mow, Edge &amp; Weed Control</v>
      </c>
      <c r="H11" s="11" t="str">
        <f>IF(tbl_Jobs[[#This Row],[Customer_ID]]="","",_xlfn.XLOOKUP(tbl_Jobs[[#This Row],[Customer_ID]],tbl_Customers[Customer_ID],tbl_Customers[Special_Notes],""))</f>
        <v>Side gate often locked.</v>
      </c>
      <c r="I11" s="7" t="s">
        <v>84</v>
      </c>
      <c r="J11" s="7" t="s">
        <v>94</v>
      </c>
      <c r="K11" s="10"/>
      <c r="L11" s="7" t="s">
        <v>95</v>
      </c>
      <c r="M11" s="8">
        <f>IF(tbl_Jobs[[#This Row],[Customer_ID]]="","",_xlfn.XLOOKUP(tbl_Jobs[[#This Row],[Customer_ID]],tbl_Customers[Customer_ID],tbl_Customers[Standard_Rate],0))</f>
        <v>95</v>
      </c>
      <c r="N11" s="1"/>
      <c r="O11" s="1"/>
      <c r="P11" s="1"/>
    </row>
    <row r="12" spans="1:16" ht="14.45" customHeight="1" x14ac:dyDescent="0.45">
      <c r="A12" s="1"/>
      <c r="B12" s="7"/>
      <c r="C12" s="20"/>
      <c r="D12" s="7"/>
      <c r="E12" s="9" t="str">
        <f>IF(tbl_Jobs[[#This Row],[Customer_ID]]="","",_xlfn.XLOOKUP(tbl_Jobs[[#This Row],[Customer_ID]],tbl_Customers[Customer_ID],tbl_Customers[Customer_Name],"Not matched"))</f>
        <v/>
      </c>
      <c r="F12" s="9" t="str">
        <f>IF(tbl_Jobs[[#This Row],[Customer_ID]]="","",_xlfn.XLOOKUP(tbl_Jobs[[#This Row],[Customer_ID]],tbl_Customers[Customer_ID],tbl_Customers[Service_Address],"Not matched"))</f>
        <v/>
      </c>
      <c r="G12" s="9" t="str">
        <f>IF(tbl_Jobs[[#This Row],[Customer_ID]]="","",_xlfn.XLOOKUP(tbl_Jobs[[#This Row],[Customer_ID]],tbl_Customers[Customer_ID],tbl_Customers[Default_Service],"Not matched"))</f>
        <v/>
      </c>
      <c r="H12" s="9" t="str">
        <f>IF(tbl_Jobs[[#This Row],[Customer_ID]]="","",_xlfn.XLOOKUP(tbl_Jobs[[#This Row],[Customer_ID]],tbl_Customers[Customer_ID],tbl_Customers[Special_Notes],""))</f>
        <v/>
      </c>
      <c r="I12" s="7"/>
      <c r="J12" s="7"/>
      <c r="K12" s="10"/>
      <c r="L12" s="7"/>
      <c r="M12" s="8" t="str">
        <f>IF(tbl_Jobs[[#This Row],[Customer_ID]]="","",_xlfn.XLOOKUP(tbl_Jobs[[#This Row],[Customer_ID]],tbl_Customers[Customer_ID],tbl_Customers[Standard_Rate],0))</f>
        <v/>
      </c>
      <c r="N12" s="1"/>
      <c r="O12" s="1"/>
      <c r="P12" s="1"/>
    </row>
    <row r="13" spans="1:16" ht="14.45" customHeight="1" x14ac:dyDescent="0.45">
      <c r="A13" s="1"/>
      <c r="B13" s="7"/>
      <c r="C13" s="20"/>
      <c r="D13" s="7"/>
      <c r="E13" s="11" t="str">
        <f>IF(tbl_Jobs[[#This Row],[Customer_ID]]="","",_xlfn.XLOOKUP(tbl_Jobs[[#This Row],[Customer_ID]],tbl_Customers[Customer_ID],tbl_Customers[Customer_Name],"Not matched"))</f>
        <v/>
      </c>
      <c r="F13" s="11" t="str">
        <f>IF(tbl_Jobs[[#This Row],[Customer_ID]]="","",_xlfn.XLOOKUP(tbl_Jobs[[#This Row],[Customer_ID]],tbl_Customers[Customer_ID],tbl_Customers[Service_Address],"Not matched"))</f>
        <v/>
      </c>
      <c r="G13" s="11" t="str">
        <f>IF(tbl_Jobs[[#This Row],[Customer_ID]]="","",_xlfn.XLOOKUP(tbl_Jobs[[#This Row],[Customer_ID]],tbl_Customers[Customer_ID],tbl_Customers[Default_Service],"Not matched"))</f>
        <v/>
      </c>
      <c r="H13" s="11" t="str">
        <f>IF(tbl_Jobs[[#This Row],[Customer_ID]]="","",_xlfn.XLOOKUP(tbl_Jobs[[#This Row],[Customer_ID]],tbl_Customers[Customer_ID],tbl_Customers[Special_Notes],""))</f>
        <v/>
      </c>
      <c r="I13" s="7"/>
      <c r="J13" s="7"/>
      <c r="K13" s="10"/>
      <c r="L13" s="7"/>
      <c r="M13" s="8" t="str">
        <f>IF(tbl_Jobs[[#This Row],[Customer_ID]]="","",_xlfn.XLOOKUP(tbl_Jobs[[#This Row],[Customer_ID]],tbl_Customers[Customer_ID],tbl_Customers[Standard_Rate],0))</f>
        <v/>
      </c>
      <c r="N13" s="1"/>
      <c r="O13" s="1"/>
      <c r="P13" s="1"/>
    </row>
    <row r="14" spans="1:16" ht="14.45" customHeight="1" x14ac:dyDescent="0.45">
      <c r="A14" s="1"/>
      <c r="B14" s="7"/>
      <c r="C14" s="20"/>
      <c r="D14" s="7"/>
      <c r="E14" s="9" t="str">
        <f>IF(tbl_Jobs[[#This Row],[Customer_ID]]="","",_xlfn.XLOOKUP(tbl_Jobs[[#This Row],[Customer_ID]],tbl_Customers[Customer_ID],tbl_Customers[Customer_Name],"Not matched"))</f>
        <v/>
      </c>
      <c r="F14" s="9" t="str">
        <f>IF(tbl_Jobs[[#This Row],[Customer_ID]]="","",_xlfn.XLOOKUP(tbl_Jobs[[#This Row],[Customer_ID]],tbl_Customers[Customer_ID],tbl_Customers[Service_Address],"Not matched"))</f>
        <v/>
      </c>
      <c r="G14" s="9" t="str">
        <f>IF(tbl_Jobs[[#This Row],[Customer_ID]]="","",_xlfn.XLOOKUP(tbl_Jobs[[#This Row],[Customer_ID]],tbl_Customers[Customer_ID],tbl_Customers[Default_Service],"Not matched"))</f>
        <v/>
      </c>
      <c r="H14" s="9" t="str">
        <f>IF(tbl_Jobs[[#This Row],[Customer_ID]]="","",_xlfn.XLOOKUP(tbl_Jobs[[#This Row],[Customer_ID]],tbl_Customers[Customer_ID],tbl_Customers[Special_Notes],""))</f>
        <v/>
      </c>
      <c r="I14" s="7"/>
      <c r="J14" s="7"/>
      <c r="K14" s="10"/>
      <c r="L14" s="7"/>
      <c r="M14" s="8" t="str">
        <f>IF(tbl_Jobs[[#This Row],[Customer_ID]]="","",_xlfn.XLOOKUP(tbl_Jobs[[#This Row],[Customer_ID]],tbl_Customers[Customer_ID],tbl_Customers[Standard_Rate],0))</f>
        <v/>
      </c>
      <c r="N14" s="1"/>
      <c r="O14" s="1"/>
      <c r="P14" s="1"/>
    </row>
    <row r="15" spans="1:16" ht="14.45" customHeight="1" x14ac:dyDescent="0.45">
      <c r="A15" s="1"/>
      <c r="B15" s="7"/>
      <c r="C15" s="20"/>
      <c r="D15" s="7"/>
      <c r="E15" s="11" t="str">
        <f>IF(tbl_Jobs[[#This Row],[Customer_ID]]="","",_xlfn.XLOOKUP(tbl_Jobs[[#This Row],[Customer_ID]],tbl_Customers[Customer_ID],tbl_Customers[Customer_Name],"Not matched"))</f>
        <v/>
      </c>
      <c r="F15" s="11" t="str">
        <f>IF(tbl_Jobs[[#This Row],[Customer_ID]]="","",_xlfn.XLOOKUP(tbl_Jobs[[#This Row],[Customer_ID]],tbl_Customers[Customer_ID],tbl_Customers[Service_Address],"Not matched"))</f>
        <v/>
      </c>
      <c r="G15" s="11" t="str">
        <f>IF(tbl_Jobs[[#This Row],[Customer_ID]]="","",_xlfn.XLOOKUP(tbl_Jobs[[#This Row],[Customer_ID]],tbl_Customers[Customer_ID],tbl_Customers[Default_Service],"Not matched"))</f>
        <v/>
      </c>
      <c r="H15" s="11" t="str">
        <f>IF(tbl_Jobs[[#This Row],[Customer_ID]]="","",_xlfn.XLOOKUP(tbl_Jobs[[#This Row],[Customer_ID]],tbl_Customers[Customer_ID],tbl_Customers[Special_Notes],""))</f>
        <v/>
      </c>
      <c r="I15" s="7"/>
      <c r="J15" s="7"/>
      <c r="K15" s="10"/>
      <c r="L15" s="7"/>
      <c r="M15" s="8" t="str">
        <f>IF(tbl_Jobs[[#This Row],[Customer_ID]]="","",_xlfn.XLOOKUP(tbl_Jobs[[#This Row],[Customer_ID]],tbl_Customers[Customer_ID],tbl_Customers[Standard_Rate],0))</f>
        <v/>
      </c>
      <c r="N15" s="1"/>
      <c r="O15" s="1"/>
      <c r="P15" s="1"/>
    </row>
    <row r="16" spans="1:16" ht="14.45" customHeight="1" x14ac:dyDescent="0.45">
      <c r="A16" s="1"/>
      <c r="B16" s="7"/>
      <c r="C16" s="20"/>
      <c r="D16" s="7"/>
      <c r="E16" s="9" t="str">
        <f>IF(tbl_Jobs[[#This Row],[Customer_ID]]="","",_xlfn.XLOOKUP(tbl_Jobs[[#This Row],[Customer_ID]],tbl_Customers[Customer_ID],tbl_Customers[Customer_Name],"Not matched"))</f>
        <v/>
      </c>
      <c r="F16" s="9" t="str">
        <f>IF(tbl_Jobs[[#This Row],[Customer_ID]]="","",_xlfn.XLOOKUP(tbl_Jobs[[#This Row],[Customer_ID]],tbl_Customers[Customer_ID],tbl_Customers[Service_Address],"Not matched"))</f>
        <v/>
      </c>
      <c r="G16" s="9" t="str">
        <f>IF(tbl_Jobs[[#This Row],[Customer_ID]]="","",_xlfn.XLOOKUP(tbl_Jobs[[#This Row],[Customer_ID]],tbl_Customers[Customer_ID],tbl_Customers[Default_Service],"Not matched"))</f>
        <v/>
      </c>
      <c r="H16" s="9" t="str">
        <f>IF(tbl_Jobs[[#This Row],[Customer_ID]]="","",_xlfn.XLOOKUP(tbl_Jobs[[#This Row],[Customer_ID]],tbl_Customers[Customer_ID],tbl_Customers[Special_Notes],""))</f>
        <v/>
      </c>
      <c r="I16" s="7"/>
      <c r="J16" s="7"/>
      <c r="K16" s="10"/>
      <c r="L16" s="7"/>
      <c r="M16" s="8" t="str">
        <f>IF(tbl_Jobs[[#This Row],[Customer_ID]]="","",_xlfn.XLOOKUP(tbl_Jobs[[#This Row],[Customer_ID]],tbl_Customers[Customer_ID],tbl_Customers[Standard_Rate],0))</f>
        <v/>
      </c>
      <c r="N16" s="1"/>
      <c r="O16" s="1"/>
      <c r="P16" s="1"/>
    </row>
    <row r="17" spans="1:16" ht="14.45" customHeight="1" x14ac:dyDescent="0.45">
      <c r="A17" s="1"/>
      <c r="B17" s="7"/>
      <c r="C17" s="20"/>
      <c r="D17" s="7"/>
      <c r="E17" s="11" t="str">
        <f>IF(tbl_Jobs[[#This Row],[Customer_ID]]="","",_xlfn.XLOOKUP(tbl_Jobs[[#This Row],[Customer_ID]],tbl_Customers[Customer_ID],tbl_Customers[Customer_Name],"Not matched"))</f>
        <v/>
      </c>
      <c r="F17" s="11" t="str">
        <f>IF(tbl_Jobs[[#This Row],[Customer_ID]]="","",_xlfn.XLOOKUP(tbl_Jobs[[#This Row],[Customer_ID]],tbl_Customers[Customer_ID],tbl_Customers[Service_Address],"Not matched"))</f>
        <v/>
      </c>
      <c r="G17" s="11" t="str">
        <f>IF(tbl_Jobs[[#This Row],[Customer_ID]]="","",_xlfn.XLOOKUP(tbl_Jobs[[#This Row],[Customer_ID]],tbl_Customers[Customer_ID],tbl_Customers[Default_Service],"Not matched"))</f>
        <v/>
      </c>
      <c r="H17" s="11" t="str">
        <f>IF(tbl_Jobs[[#This Row],[Customer_ID]]="","",_xlfn.XLOOKUP(tbl_Jobs[[#This Row],[Customer_ID]],tbl_Customers[Customer_ID],tbl_Customers[Special_Notes],""))</f>
        <v/>
      </c>
      <c r="I17" s="7"/>
      <c r="J17" s="7"/>
      <c r="K17" s="10"/>
      <c r="L17" s="7"/>
      <c r="M17" s="8" t="str">
        <f>IF(tbl_Jobs[[#This Row],[Customer_ID]]="","",_xlfn.XLOOKUP(tbl_Jobs[[#This Row],[Customer_ID]],tbl_Customers[Customer_ID],tbl_Customers[Standard_Rate],0))</f>
        <v/>
      </c>
      <c r="N17" s="1"/>
      <c r="O17" s="1"/>
      <c r="P17" s="1"/>
    </row>
    <row r="18" spans="1:16" ht="14.45" customHeight="1" x14ac:dyDescent="0.45">
      <c r="A18" s="1"/>
      <c r="B18" s="7"/>
      <c r="C18" s="20"/>
      <c r="D18" s="7"/>
      <c r="E18" s="9" t="str">
        <f>IF(tbl_Jobs[[#This Row],[Customer_ID]]="","",_xlfn.XLOOKUP(tbl_Jobs[[#This Row],[Customer_ID]],tbl_Customers[Customer_ID],tbl_Customers[Customer_Name],"Not matched"))</f>
        <v/>
      </c>
      <c r="F18" s="9" t="str">
        <f>IF(tbl_Jobs[[#This Row],[Customer_ID]]="","",_xlfn.XLOOKUP(tbl_Jobs[[#This Row],[Customer_ID]],tbl_Customers[Customer_ID],tbl_Customers[Service_Address],"Not matched"))</f>
        <v/>
      </c>
      <c r="G18" s="9" t="str">
        <f>IF(tbl_Jobs[[#This Row],[Customer_ID]]="","",_xlfn.XLOOKUP(tbl_Jobs[[#This Row],[Customer_ID]],tbl_Customers[Customer_ID],tbl_Customers[Default_Service],"Not matched"))</f>
        <v/>
      </c>
      <c r="H18" s="9" t="str">
        <f>IF(tbl_Jobs[[#This Row],[Customer_ID]]="","",_xlfn.XLOOKUP(tbl_Jobs[[#This Row],[Customer_ID]],tbl_Customers[Customer_ID],tbl_Customers[Special_Notes],""))</f>
        <v/>
      </c>
      <c r="I18" s="7"/>
      <c r="J18" s="7"/>
      <c r="K18" s="10"/>
      <c r="L18" s="7"/>
      <c r="M18" s="8" t="str">
        <f>IF(tbl_Jobs[[#This Row],[Customer_ID]]="","",_xlfn.XLOOKUP(tbl_Jobs[[#This Row],[Customer_ID]],tbl_Customers[Customer_ID],tbl_Customers[Standard_Rate],0))</f>
        <v/>
      </c>
      <c r="N18" s="1"/>
      <c r="O18" s="1"/>
      <c r="P18" s="1"/>
    </row>
    <row r="19" spans="1:16" ht="14.45" customHeight="1" x14ac:dyDescent="0.45">
      <c r="A19" s="1"/>
      <c r="B19" s="7"/>
      <c r="C19" s="20"/>
      <c r="D19" s="7"/>
      <c r="E19" s="11" t="str">
        <f>IF(tbl_Jobs[[#This Row],[Customer_ID]]="","",_xlfn.XLOOKUP(tbl_Jobs[[#This Row],[Customer_ID]],tbl_Customers[Customer_ID],tbl_Customers[Customer_Name],"Not matched"))</f>
        <v/>
      </c>
      <c r="F19" s="11" t="str">
        <f>IF(tbl_Jobs[[#This Row],[Customer_ID]]="","",_xlfn.XLOOKUP(tbl_Jobs[[#This Row],[Customer_ID]],tbl_Customers[Customer_ID],tbl_Customers[Service_Address],"Not matched"))</f>
        <v/>
      </c>
      <c r="G19" s="11" t="str">
        <f>IF(tbl_Jobs[[#This Row],[Customer_ID]]="","",_xlfn.XLOOKUP(tbl_Jobs[[#This Row],[Customer_ID]],tbl_Customers[Customer_ID],tbl_Customers[Default_Service],"Not matched"))</f>
        <v/>
      </c>
      <c r="H19" s="11" t="str">
        <f>IF(tbl_Jobs[[#This Row],[Customer_ID]]="","",_xlfn.XLOOKUP(tbl_Jobs[[#This Row],[Customer_ID]],tbl_Customers[Customer_ID],tbl_Customers[Special_Notes],""))</f>
        <v/>
      </c>
      <c r="I19" s="7"/>
      <c r="J19" s="7"/>
      <c r="K19" s="10"/>
      <c r="L19" s="7"/>
      <c r="M19" s="8" t="str">
        <f>IF(tbl_Jobs[[#This Row],[Customer_ID]]="","",_xlfn.XLOOKUP(tbl_Jobs[[#This Row],[Customer_ID]],tbl_Customers[Customer_ID],tbl_Customers[Standard_Rate],0))</f>
        <v/>
      </c>
      <c r="N19" s="1"/>
      <c r="O19" s="1"/>
      <c r="P19" s="1"/>
    </row>
    <row r="20" spans="1:16" ht="14.45" customHeight="1" x14ac:dyDescent="0.45">
      <c r="A20" s="1"/>
      <c r="B20" s="7"/>
      <c r="C20" s="20"/>
      <c r="D20" s="7"/>
      <c r="E20" s="9" t="str">
        <f>IF(tbl_Jobs[[#This Row],[Customer_ID]]="","",_xlfn.XLOOKUP(tbl_Jobs[[#This Row],[Customer_ID]],tbl_Customers[Customer_ID],tbl_Customers[Customer_Name],"Not matched"))</f>
        <v/>
      </c>
      <c r="F20" s="9" t="str">
        <f>IF(tbl_Jobs[[#This Row],[Customer_ID]]="","",_xlfn.XLOOKUP(tbl_Jobs[[#This Row],[Customer_ID]],tbl_Customers[Customer_ID],tbl_Customers[Service_Address],"Not matched"))</f>
        <v/>
      </c>
      <c r="G20" s="9" t="str">
        <f>IF(tbl_Jobs[[#This Row],[Customer_ID]]="","",_xlfn.XLOOKUP(tbl_Jobs[[#This Row],[Customer_ID]],tbl_Customers[Customer_ID],tbl_Customers[Default_Service],"Not matched"))</f>
        <v/>
      </c>
      <c r="H20" s="9" t="str">
        <f>IF(tbl_Jobs[[#This Row],[Customer_ID]]="","",_xlfn.XLOOKUP(tbl_Jobs[[#This Row],[Customer_ID]],tbl_Customers[Customer_ID],tbl_Customers[Special_Notes],""))</f>
        <v/>
      </c>
      <c r="I20" s="7"/>
      <c r="J20" s="7"/>
      <c r="K20" s="10"/>
      <c r="L20" s="7"/>
      <c r="M20" s="8" t="str">
        <f>IF(tbl_Jobs[[#This Row],[Customer_ID]]="","",_xlfn.XLOOKUP(tbl_Jobs[[#This Row],[Customer_ID]],tbl_Customers[Customer_ID],tbl_Customers[Standard_Rate],0))</f>
        <v/>
      </c>
      <c r="N20" s="1"/>
      <c r="O20" s="1"/>
      <c r="P20" s="1"/>
    </row>
    <row r="21" spans="1:16" ht="14.45" customHeight="1" x14ac:dyDescent="0.45">
      <c r="A21" s="1"/>
      <c r="B21" s="7"/>
      <c r="C21" s="20"/>
      <c r="D21" s="7"/>
      <c r="E21" s="11" t="str">
        <f>IF(tbl_Jobs[[#This Row],[Customer_ID]]="","",_xlfn.XLOOKUP(tbl_Jobs[[#This Row],[Customer_ID]],tbl_Customers[Customer_ID],tbl_Customers[Customer_Name],"Not matched"))</f>
        <v/>
      </c>
      <c r="F21" s="11" t="str">
        <f>IF(tbl_Jobs[[#This Row],[Customer_ID]]="","",_xlfn.XLOOKUP(tbl_Jobs[[#This Row],[Customer_ID]],tbl_Customers[Customer_ID],tbl_Customers[Service_Address],"Not matched"))</f>
        <v/>
      </c>
      <c r="G21" s="11" t="str">
        <f>IF(tbl_Jobs[[#This Row],[Customer_ID]]="","",_xlfn.XLOOKUP(tbl_Jobs[[#This Row],[Customer_ID]],tbl_Customers[Customer_ID],tbl_Customers[Default_Service],"Not matched"))</f>
        <v/>
      </c>
      <c r="H21" s="11" t="str">
        <f>IF(tbl_Jobs[[#This Row],[Customer_ID]]="","",_xlfn.XLOOKUP(tbl_Jobs[[#This Row],[Customer_ID]],tbl_Customers[Customer_ID],tbl_Customers[Special_Notes],""))</f>
        <v/>
      </c>
      <c r="I21" s="7"/>
      <c r="J21" s="7"/>
      <c r="K21" s="10"/>
      <c r="L21" s="7"/>
      <c r="M21" s="8" t="str">
        <f>IF(tbl_Jobs[[#This Row],[Customer_ID]]="","",_xlfn.XLOOKUP(tbl_Jobs[[#This Row],[Customer_ID]],tbl_Customers[Customer_ID],tbl_Customers[Standard_Rate],0))</f>
        <v/>
      </c>
      <c r="N21" s="1"/>
      <c r="O21" s="1"/>
      <c r="P21" s="1"/>
    </row>
    <row r="22" spans="1:16" ht="14.45" customHeight="1" x14ac:dyDescent="0.45">
      <c r="A22" s="1"/>
      <c r="B22" s="7"/>
      <c r="C22" s="20"/>
      <c r="D22" s="7"/>
      <c r="E22" s="9" t="str">
        <f>IF(tbl_Jobs[[#This Row],[Customer_ID]]="","",_xlfn.XLOOKUP(tbl_Jobs[[#This Row],[Customer_ID]],tbl_Customers[Customer_ID],tbl_Customers[Customer_Name],"Not matched"))</f>
        <v/>
      </c>
      <c r="F22" s="9" t="str">
        <f>IF(tbl_Jobs[[#This Row],[Customer_ID]]="","",_xlfn.XLOOKUP(tbl_Jobs[[#This Row],[Customer_ID]],tbl_Customers[Customer_ID],tbl_Customers[Service_Address],"Not matched"))</f>
        <v/>
      </c>
      <c r="G22" s="9" t="str">
        <f>IF(tbl_Jobs[[#This Row],[Customer_ID]]="","",_xlfn.XLOOKUP(tbl_Jobs[[#This Row],[Customer_ID]],tbl_Customers[Customer_ID],tbl_Customers[Default_Service],"Not matched"))</f>
        <v/>
      </c>
      <c r="H22" s="9" t="str">
        <f>IF(tbl_Jobs[[#This Row],[Customer_ID]]="","",_xlfn.XLOOKUP(tbl_Jobs[[#This Row],[Customer_ID]],tbl_Customers[Customer_ID],tbl_Customers[Special_Notes],""))</f>
        <v/>
      </c>
      <c r="I22" s="7"/>
      <c r="J22" s="7"/>
      <c r="K22" s="10"/>
      <c r="L22" s="7"/>
      <c r="M22" s="8" t="str">
        <f>IF(tbl_Jobs[[#This Row],[Customer_ID]]="","",_xlfn.XLOOKUP(tbl_Jobs[[#This Row],[Customer_ID]],tbl_Customers[Customer_ID],tbl_Customers[Standard_Rate],0))</f>
        <v/>
      </c>
      <c r="N22" s="1"/>
      <c r="O22" s="1"/>
      <c r="P22" s="1"/>
    </row>
    <row r="23" spans="1:16" ht="14.45" customHeight="1" x14ac:dyDescent="0.45">
      <c r="A23" s="1"/>
      <c r="B23" s="7"/>
      <c r="C23" s="20"/>
      <c r="D23" s="7"/>
      <c r="E23" s="11" t="str">
        <f>IF(tbl_Jobs[[#This Row],[Customer_ID]]="","",_xlfn.XLOOKUP(tbl_Jobs[[#This Row],[Customer_ID]],tbl_Customers[Customer_ID],tbl_Customers[Customer_Name],"Not matched"))</f>
        <v/>
      </c>
      <c r="F23" s="11" t="str">
        <f>IF(tbl_Jobs[[#This Row],[Customer_ID]]="","",_xlfn.XLOOKUP(tbl_Jobs[[#This Row],[Customer_ID]],tbl_Customers[Customer_ID],tbl_Customers[Service_Address],"Not matched"))</f>
        <v/>
      </c>
      <c r="G23" s="11" t="str">
        <f>IF(tbl_Jobs[[#This Row],[Customer_ID]]="","",_xlfn.XLOOKUP(tbl_Jobs[[#This Row],[Customer_ID]],tbl_Customers[Customer_ID],tbl_Customers[Default_Service],"Not matched"))</f>
        <v/>
      </c>
      <c r="H23" s="11" t="str">
        <f>IF(tbl_Jobs[[#This Row],[Customer_ID]]="","",_xlfn.XLOOKUP(tbl_Jobs[[#This Row],[Customer_ID]],tbl_Customers[Customer_ID],tbl_Customers[Special_Notes],""))</f>
        <v/>
      </c>
      <c r="I23" s="7"/>
      <c r="J23" s="7"/>
      <c r="K23" s="10"/>
      <c r="L23" s="7"/>
      <c r="M23" s="8" t="str">
        <f>IF(tbl_Jobs[[#This Row],[Customer_ID]]="","",_xlfn.XLOOKUP(tbl_Jobs[[#This Row],[Customer_ID]],tbl_Customers[Customer_ID],tbl_Customers[Standard_Rate],0))</f>
        <v/>
      </c>
      <c r="N23" s="1"/>
      <c r="O23" s="1"/>
      <c r="P23" s="1"/>
    </row>
    <row r="24" spans="1:16" ht="14.45" customHeight="1" x14ac:dyDescent="0.45">
      <c r="A24" s="1"/>
      <c r="B24" s="7"/>
      <c r="C24" s="20"/>
      <c r="D24" s="7"/>
      <c r="E24" s="9" t="str">
        <f>IF(tbl_Jobs[[#This Row],[Customer_ID]]="","",_xlfn.XLOOKUP(tbl_Jobs[[#This Row],[Customer_ID]],tbl_Customers[Customer_ID],tbl_Customers[Customer_Name],"Not matched"))</f>
        <v/>
      </c>
      <c r="F24" s="9" t="str">
        <f>IF(tbl_Jobs[[#This Row],[Customer_ID]]="","",_xlfn.XLOOKUP(tbl_Jobs[[#This Row],[Customer_ID]],tbl_Customers[Customer_ID],tbl_Customers[Service_Address],"Not matched"))</f>
        <v/>
      </c>
      <c r="G24" s="9" t="str">
        <f>IF(tbl_Jobs[[#This Row],[Customer_ID]]="","",_xlfn.XLOOKUP(tbl_Jobs[[#This Row],[Customer_ID]],tbl_Customers[Customer_ID],tbl_Customers[Default_Service],"Not matched"))</f>
        <v/>
      </c>
      <c r="H24" s="9" t="str">
        <f>IF(tbl_Jobs[[#This Row],[Customer_ID]]="","",_xlfn.XLOOKUP(tbl_Jobs[[#This Row],[Customer_ID]],tbl_Customers[Customer_ID],tbl_Customers[Special_Notes],""))</f>
        <v/>
      </c>
      <c r="I24" s="7"/>
      <c r="J24" s="7"/>
      <c r="K24" s="10"/>
      <c r="L24" s="7"/>
      <c r="M24" s="8" t="str">
        <f>IF(tbl_Jobs[[#This Row],[Customer_ID]]="","",_xlfn.XLOOKUP(tbl_Jobs[[#This Row],[Customer_ID]],tbl_Customers[Customer_ID],tbl_Customers[Standard_Rate],0))</f>
        <v/>
      </c>
      <c r="N24" s="1"/>
      <c r="O24" s="1"/>
      <c r="P24" s="1"/>
    </row>
    <row r="25" spans="1:16" ht="14.45" customHeight="1" x14ac:dyDescent="0.45">
      <c r="A25" s="1"/>
      <c r="B25" s="7"/>
      <c r="C25" s="20"/>
      <c r="D25" s="7"/>
      <c r="E25" s="11" t="str">
        <f>IF(tbl_Jobs[[#This Row],[Customer_ID]]="","",_xlfn.XLOOKUP(tbl_Jobs[[#This Row],[Customer_ID]],tbl_Customers[Customer_ID],tbl_Customers[Customer_Name],"Not matched"))</f>
        <v/>
      </c>
      <c r="F25" s="11" t="str">
        <f>IF(tbl_Jobs[[#This Row],[Customer_ID]]="","",_xlfn.XLOOKUP(tbl_Jobs[[#This Row],[Customer_ID]],tbl_Customers[Customer_ID],tbl_Customers[Service_Address],"Not matched"))</f>
        <v/>
      </c>
      <c r="G25" s="11" t="str">
        <f>IF(tbl_Jobs[[#This Row],[Customer_ID]]="","",_xlfn.XLOOKUP(tbl_Jobs[[#This Row],[Customer_ID]],tbl_Customers[Customer_ID],tbl_Customers[Default_Service],"Not matched"))</f>
        <v/>
      </c>
      <c r="H25" s="11" t="str">
        <f>IF(tbl_Jobs[[#This Row],[Customer_ID]]="","",_xlfn.XLOOKUP(tbl_Jobs[[#This Row],[Customer_ID]],tbl_Customers[Customer_ID],tbl_Customers[Special_Notes],""))</f>
        <v/>
      </c>
      <c r="I25" s="7"/>
      <c r="J25" s="7"/>
      <c r="K25" s="10"/>
      <c r="L25" s="7"/>
      <c r="M25" s="8" t="str">
        <f>IF(tbl_Jobs[[#This Row],[Customer_ID]]="","",_xlfn.XLOOKUP(tbl_Jobs[[#This Row],[Customer_ID]],tbl_Customers[Customer_ID],tbl_Customers[Standard_Rate],0))</f>
        <v/>
      </c>
      <c r="N25" s="1"/>
      <c r="O25" s="1"/>
      <c r="P25" s="1"/>
    </row>
    <row r="26" spans="1:16" ht="14.45" customHeight="1" x14ac:dyDescent="0.45">
      <c r="A26" s="1"/>
      <c r="B26" s="7"/>
      <c r="C26" s="20"/>
      <c r="D26" s="7"/>
      <c r="E26" s="9" t="str">
        <f>IF(tbl_Jobs[[#This Row],[Customer_ID]]="","",_xlfn.XLOOKUP(tbl_Jobs[[#This Row],[Customer_ID]],tbl_Customers[Customer_ID],tbl_Customers[Customer_Name],"Not matched"))</f>
        <v/>
      </c>
      <c r="F26" s="9" t="str">
        <f>IF(tbl_Jobs[[#This Row],[Customer_ID]]="","",_xlfn.XLOOKUP(tbl_Jobs[[#This Row],[Customer_ID]],tbl_Customers[Customer_ID],tbl_Customers[Service_Address],"Not matched"))</f>
        <v/>
      </c>
      <c r="G26" s="9" t="str">
        <f>IF(tbl_Jobs[[#This Row],[Customer_ID]]="","",_xlfn.XLOOKUP(tbl_Jobs[[#This Row],[Customer_ID]],tbl_Customers[Customer_ID],tbl_Customers[Default_Service],"Not matched"))</f>
        <v/>
      </c>
      <c r="H26" s="9" t="str">
        <f>IF(tbl_Jobs[[#This Row],[Customer_ID]]="","",_xlfn.XLOOKUP(tbl_Jobs[[#This Row],[Customer_ID]],tbl_Customers[Customer_ID],tbl_Customers[Special_Notes],""))</f>
        <v/>
      </c>
      <c r="I26" s="7"/>
      <c r="J26" s="7"/>
      <c r="K26" s="10"/>
      <c r="L26" s="7"/>
      <c r="M26" s="8" t="str">
        <f>IF(tbl_Jobs[[#This Row],[Customer_ID]]="","",_xlfn.XLOOKUP(tbl_Jobs[[#This Row],[Customer_ID]],tbl_Customers[Customer_ID],tbl_Customers[Standard_Rate],0))</f>
        <v/>
      </c>
      <c r="N26" s="1"/>
      <c r="O26" s="1"/>
      <c r="P26" s="1"/>
    </row>
    <row r="27" spans="1:16" ht="14.45" customHeight="1" x14ac:dyDescent="0.45">
      <c r="A27" s="1"/>
      <c r="B27" s="7"/>
      <c r="C27" s="20"/>
      <c r="D27" s="7"/>
      <c r="E27" s="11" t="str">
        <f>IF(tbl_Jobs[[#This Row],[Customer_ID]]="","",_xlfn.XLOOKUP(tbl_Jobs[[#This Row],[Customer_ID]],tbl_Customers[Customer_ID],tbl_Customers[Customer_Name],"Not matched"))</f>
        <v/>
      </c>
      <c r="F27" s="11" t="str">
        <f>IF(tbl_Jobs[[#This Row],[Customer_ID]]="","",_xlfn.XLOOKUP(tbl_Jobs[[#This Row],[Customer_ID]],tbl_Customers[Customer_ID],tbl_Customers[Service_Address],"Not matched"))</f>
        <v/>
      </c>
      <c r="G27" s="11" t="str">
        <f>IF(tbl_Jobs[[#This Row],[Customer_ID]]="","",_xlfn.XLOOKUP(tbl_Jobs[[#This Row],[Customer_ID]],tbl_Customers[Customer_ID],tbl_Customers[Default_Service],"Not matched"))</f>
        <v/>
      </c>
      <c r="H27" s="11" t="str">
        <f>IF(tbl_Jobs[[#This Row],[Customer_ID]]="","",_xlfn.XLOOKUP(tbl_Jobs[[#This Row],[Customer_ID]],tbl_Customers[Customer_ID],tbl_Customers[Special_Notes],""))</f>
        <v/>
      </c>
      <c r="I27" s="7"/>
      <c r="J27" s="7"/>
      <c r="K27" s="10"/>
      <c r="L27" s="7"/>
      <c r="M27" s="8" t="str">
        <f>IF(tbl_Jobs[[#This Row],[Customer_ID]]="","",_xlfn.XLOOKUP(tbl_Jobs[[#This Row],[Customer_ID]],tbl_Customers[Customer_ID],tbl_Customers[Standard_Rate],0))</f>
        <v/>
      </c>
      <c r="N27" s="1"/>
      <c r="O27" s="1"/>
      <c r="P27" s="1"/>
    </row>
    <row r="28" spans="1:16" ht="14.45" customHeight="1" x14ac:dyDescent="0.45">
      <c r="A28" s="1"/>
      <c r="B28" s="7"/>
      <c r="C28" s="20"/>
      <c r="D28" s="7"/>
      <c r="E28" s="9" t="str">
        <f>IF(tbl_Jobs[[#This Row],[Customer_ID]]="","",_xlfn.XLOOKUP(tbl_Jobs[[#This Row],[Customer_ID]],tbl_Customers[Customer_ID],tbl_Customers[Customer_Name],"Not matched"))</f>
        <v/>
      </c>
      <c r="F28" s="9" t="str">
        <f>IF(tbl_Jobs[[#This Row],[Customer_ID]]="","",_xlfn.XLOOKUP(tbl_Jobs[[#This Row],[Customer_ID]],tbl_Customers[Customer_ID],tbl_Customers[Service_Address],"Not matched"))</f>
        <v/>
      </c>
      <c r="G28" s="9" t="str">
        <f>IF(tbl_Jobs[[#This Row],[Customer_ID]]="","",_xlfn.XLOOKUP(tbl_Jobs[[#This Row],[Customer_ID]],tbl_Customers[Customer_ID],tbl_Customers[Default_Service],"Not matched"))</f>
        <v/>
      </c>
      <c r="H28" s="9" t="str">
        <f>IF(tbl_Jobs[[#This Row],[Customer_ID]]="","",_xlfn.XLOOKUP(tbl_Jobs[[#This Row],[Customer_ID]],tbl_Customers[Customer_ID],tbl_Customers[Special_Notes],""))</f>
        <v/>
      </c>
      <c r="I28" s="7"/>
      <c r="J28" s="7"/>
      <c r="K28" s="10"/>
      <c r="L28" s="7"/>
      <c r="M28" s="8" t="str">
        <f>IF(tbl_Jobs[[#This Row],[Customer_ID]]="","",_xlfn.XLOOKUP(tbl_Jobs[[#This Row],[Customer_ID]],tbl_Customers[Customer_ID],tbl_Customers[Standard_Rate],0))</f>
        <v/>
      </c>
      <c r="N28" s="1"/>
      <c r="O28" s="1"/>
      <c r="P28" s="1"/>
    </row>
    <row r="29" spans="1:16" ht="14.45" customHeight="1" x14ac:dyDescent="0.45">
      <c r="A29" s="1"/>
      <c r="B29" s="7"/>
      <c r="C29" s="20"/>
      <c r="D29" s="7"/>
      <c r="E29" s="11" t="str">
        <f>IF(tbl_Jobs[[#This Row],[Customer_ID]]="","",_xlfn.XLOOKUP(tbl_Jobs[[#This Row],[Customer_ID]],tbl_Customers[Customer_ID],tbl_Customers[Customer_Name],"Not matched"))</f>
        <v/>
      </c>
      <c r="F29" s="11" t="str">
        <f>IF(tbl_Jobs[[#This Row],[Customer_ID]]="","",_xlfn.XLOOKUP(tbl_Jobs[[#This Row],[Customer_ID]],tbl_Customers[Customer_ID],tbl_Customers[Service_Address],"Not matched"))</f>
        <v/>
      </c>
      <c r="G29" s="11" t="str">
        <f>IF(tbl_Jobs[[#This Row],[Customer_ID]]="","",_xlfn.XLOOKUP(tbl_Jobs[[#This Row],[Customer_ID]],tbl_Customers[Customer_ID],tbl_Customers[Default_Service],"Not matched"))</f>
        <v/>
      </c>
      <c r="H29" s="11" t="str">
        <f>IF(tbl_Jobs[[#This Row],[Customer_ID]]="","",_xlfn.XLOOKUP(tbl_Jobs[[#This Row],[Customer_ID]],tbl_Customers[Customer_ID],tbl_Customers[Special_Notes],""))</f>
        <v/>
      </c>
      <c r="I29" s="7"/>
      <c r="J29" s="7"/>
      <c r="K29" s="10"/>
      <c r="L29" s="7"/>
      <c r="M29" s="8" t="str">
        <f>IF(tbl_Jobs[[#This Row],[Customer_ID]]="","",_xlfn.XLOOKUP(tbl_Jobs[[#This Row],[Customer_ID]],tbl_Customers[Customer_ID],tbl_Customers[Standard_Rate],0))</f>
        <v/>
      </c>
      <c r="N29" s="1"/>
      <c r="O29" s="1"/>
      <c r="P29" s="1"/>
    </row>
    <row r="30" spans="1:16" ht="14.45" customHeight="1" x14ac:dyDescent="0.45">
      <c r="A30" s="1"/>
      <c r="B30" s="7"/>
      <c r="C30" s="20"/>
      <c r="D30" s="7"/>
      <c r="E30" s="9" t="str">
        <f>IF(tbl_Jobs[[#This Row],[Customer_ID]]="","",_xlfn.XLOOKUP(tbl_Jobs[[#This Row],[Customer_ID]],tbl_Customers[Customer_ID],tbl_Customers[Customer_Name],"Not matched"))</f>
        <v/>
      </c>
      <c r="F30" s="9" t="str">
        <f>IF(tbl_Jobs[[#This Row],[Customer_ID]]="","",_xlfn.XLOOKUP(tbl_Jobs[[#This Row],[Customer_ID]],tbl_Customers[Customer_ID],tbl_Customers[Service_Address],"Not matched"))</f>
        <v/>
      </c>
      <c r="G30" s="9" t="str">
        <f>IF(tbl_Jobs[[#This Row],[Customer_ID]]="","",_xlfn.XLOOKUP(tbl_Jobs[[#This Row],[Customer_ID]],tbl_Customers[Customer_ID],tbl_Customers[Default_Service],"Not matched"))</f>
        <v/>
      </c>
      <c r="H30" s="9" t="str">
        <f>IF(tbl_Jobs[[#This Row],[Customer_ID]]="","",_xlfn.XLOOKUP(tbl_Jobs[[#This Row],[Customer_ID]],tbl_Customers[Customer_ID],tbl_Customers[Special_Notes],""))</f>
        <v/>
      </c>
      <c r="I30" s="7"/>
      <c r="J30" s="7"/>
      <c r="K30" s="10"/>
      <c r="L30" s="7"/>
      <c r="M30" s="8" t="str">
        <f>IF(tbl_Jobs[[#This Row],[Customer_ID]]="","",_xlfn.XLOOKUP(tbl_Jobs[[#This Row],[Customer_ID]],tbl_Customers[Customer_ID],tbl_Customers[Standard_Rate],0))</f>
        <v/>
      </c>
      <c r="N30" s="1"/>
      <c r="O30" s="1"/>
      <c r="P30" s="1"/>
    </row>
    <row r="31" spans="1:16" ht="14.45" customHeight="1" x14ac:dyDescent="0.45">
      <c r="A31" s="1"/>
      <c r="B31" s="7"/>
      <c r="C31" s="20"/>
      <c r="D31" s="7"/>
      <c r="E31" s="11" t="str">
        <f>IF(tbl_Jobs[[#This Row],[Customer_ID]]="","",_xlfn.XLOOKUP(tbl_Jobs[[#This Row],[Customer_ID]],tbl_Customers[Customer_ID],tbl_Customers[Customer_Name],"Not matched"))</f>
        <v/>
      </c>
      <c r="F31" s="11" t="str">
        <f>IF(tbl_Jobs[[#This Row],[Customer_ID]]="","",_xlfn.XLOOKUP(tbl_Jobs[[#This Row],[Customer_ID]],tbl_Customers[Customer_ID],tbl_Customers[Service_Address],"Not matched"))</f>
        <v/>
      </c>
      <c r="G31" s="11" t="str">
        <f>IF(tbl_Jobs[[#This Row],[Customer_ID]]="","",_xlfn.XLOOKUP(tbl_Jobs[[#This Row],[Customer_ID]],tbl_Customers[Customer_ID],tbl_Customers[Default_Service],"Not matched"))</f>
        <v/>
      </c>
      <c r="H31" s="11" t="str">
        <f>IF(tbl_Jobs[[#This Row],[Customer_ID]]="","",_xlfn.XLOOKUP(tbl_Jobs[[#This Row],[Customer_ID]],tbl_Customers[Customer_ID],tbl_Customers[Special_Notes],""))</f>
        <v/>
      </c>
      <c r="I31" s="7"/>
      <c r="J31" s="7"/>
      <c r="K31" s="10"/>
      <c r="L31" s="7"/>
      <c r="M31" s="8" t="str">
        <f>IF(tbl_Jobs[[#This Row],[Customer_ID]]="","",_xlfn.XLOOKUP(tbl_Jobs[[#This Row],[Customer_ID]],tbl_Customers[Customer_ID],tbl_Customers[Standard_Rate],0))</f>
        <v/>
      </c>
      <c r="N31" s="1"/>
      <c r="O31" s="1"/>
      <c r="P31" s="1"/>
    </row>
    <row r="32" spans="1:16" ht="14.45" customHeight="1" x14ac:dyDescent="0.45">
      <c r="A32" s="1"/>
      <c r="B32" s="7"/>
      <c r="C32" s="20"/>
      <c r="D32" s="7"/>
      <c r="E32" s="9" t="str">
        <f>IF(tbl_Jobs[[#This Row],[Customer_ID]]="","",_xlfn.XLOOKUP(tbl_Jobs[[#This Row],[Customer_ID]],tbl_Customers[Customer_ID],tbl_Customers[Customer_Name],"Not matched"))</f>
        <v/>
      </c>
      <c r="F32" s="9" t="str">
        <f>IF(tbl_Jobs[[#This Row],[Customer_ID]]="","",_xlfn.XLOOKUP(tbl_Jobs[[#This Row],[Customer_ID]],tbl_Customers[Customer_ID],tbl_Customers[Service_Address],"Not matched"))</f>
        <v/>
      </c>
      <c r="G32" s="9" t="str">
        <f>IF(tbl_Jobs[[#This Row],[Customer_ID]]="","",_xlfn.XLOOKUP(tbl_Jobs[[#This Row],[Customer_ID]],tbl_Customers[Customer_ID],tbl_Customers[Default_Service],"Not matched"))</f>
        <v/>
      </c>
      <c r="H32" s="9" t="str">
        <f>IF(tbl_Jobs[[#This Row],[Customer_ID]]="","",_xlfn.XLOOKUP(tbl_Jobs[[#This Row],[Customer_ID]],tbl_Customers[Customer_ID],tbl_Customers[Special_Notes],""))</f>
        <v/>
      </c>
      <c r="I32" s="7"/>
      <c r="J32" s="7"/>
      <c r="K32" s="10"/>
      <c r="L32" s="7"/>
      <c r="M32" s="8" t="str">
        <f>IF(tbl_Jobs[[#This Row],[Customer_ID]]="","",_xlfn.XLOOKUP(tbl_Jobs[[#This Row],[Customer_ID]],tbl_Customers[Customer_ID],tbl_Customers[Standard_Rate],0))</f>
        <v/>
      </c>
      <c r="N32" s="1"/>
      <c r="O32" s="1"/>
      <c r="P32" s="1"/>
    </row>
    <row r="33" spans="1:16" ht="14.45" customHeight="1" x14ac:dyDescent="0.45">
      <c r="A33" s="1"/>
      <c r="B33" s="7"/>
      <c r="C33" s="20"/>
      <c r="D33" s="7"/>
      <c r="E33" s="11" t="str">
        <f>IF(tbl_Jobs[[#This Row],[Customer_ID]]="","",_xlfn.XLOOKUP(tbl_Jobs[[#This Row],[Customer_ID]],tbl_Customers[Customer_ID],tbl_Customers[Customer_Name],"Not matched"))</f>
        <v/>
      </c>
      <c r="F33" s="11" t="str">
        <f>IF(tbl_Jobs[[#This Row],[Customer_ID]]="","",_xlfn.XLOOKUP(tbl_Jobs[[#This Row],[Customer_ID]],tbl_Customers[Customer_ID],tbl_Customers[Service_Address],"Not matched"))</f>
        <v/>
      </c>
      <c r="G33" s="11" t="str">
        <f>IF(tbl_Jobs[[#This Row],[Customer_ID]]="","",_xlfn.XLOOKUP(tbl_Jobs[[#This Row],[Customer_ID]],tbl_Customers[Customer_ID],tbl_Customers[Default_Service],"Not matched"))</f>
        <v/>
      </c>
      <c r="H33" s="11" t="str">
        <f>IF(tbl_Jobs[[#This Row],[Customer_ID]]="","",_xlfn.XLOOKUP(tbl_Jobs[[#This Row],[Customer_ID]],tbl_Customers[Customer_ID],tbl_Customers[Special_Notes],""))</f>
        <v/>
      </c>
      <c r="I33" s="7"/>
      <c r="J33" s="7"/>
      <c r="K33" s="10"/>
      <c r="L33" s="7"/>
      <c r="M33" s="8" t="str">
        <f>IF(tbl_Jobs[[#This Row],[Customer_ID]]="","",_xlfn.XLOOKUP(tbl_Jobs[[#This Row],[Customer_ID]],tbl_Customers[Customer_ID],tbl_Customers[Standard_Rate],0))</f>
        <v/>
      </c>
      <c r="N33" s="1"/>
      <c r="O33" s="1"/>
      <c r="P33" s="1"/>
    </row>
    <row r="34" spans="1:16" ht="14.45" customHeight="1" x14ac:dyDescent="0.45">
      <c r="A34" s="1"/>
      <c r="B34" s="7"/>
      <c r="C34" s="20"/>
      <c r="D34" s="7"/>
      <c r="E34" s="9" t="str">
        <f>IF(tbl_Jobs[[#This Row],[Customer_ID]]="","",_xlfn.XLOOKUP(tbl_Jobs[[#This Row],[Customer_ID]],tbl_Customers[Customer_ID],tbl_Customers[Customer_Name],"Not matched"))</f>
        <v/>
      </c>
      <c r="F34" s="9" t="str">
        <f>IF(tbl_Jobs[[#This Row],[Customer_ID]]="","",_xlfn.XLOOKUP(tbl_Jobs[[#This Row],[Customer_ID]],tbl_Customers[Customer_ID],tbl_Customers[Service_Address],"Not matched"))</f>
        <v/>
      </c>
      <c r="G34" s="9" t="str">
        <f>IF(tbl_Jobs[[#This Row],[Customer_ID]]="","",_xlfn.XLOOKUP(tbl_Jobs[[#This Row],[Customer_ID]],tbl_Customers[Customer_ID],tbl_Customers[Default_Service],"Not matched"))</f>
        <v/>
      </c>
      <c r="H34" s="9" t="str">
        <f>IF(tbl_Jobs[[#This Row],[Customer_ID]]="","",_xlfn.XLOOKUP(tbl_Jobs[[#This Row],[Customer_ID]],tbl_Customers[Customer_ID],tbl_Customers[Special_Notes],""))</f>
        <v/>
      </c>
      <c r="I34" s="7"/>
      <c r="J34" s="7"/>
      <c r="K34" s="10"/>
      <c r="L34" s="7"/>
      <c r="M34" s="8" t="str">
        <f>IF(tbl_Jobs[[#This Row],[Customer_ID]]="","",_xlfn.XLOOKUP(tbl_Jobs[[#This Row],[Customer_ID]],tbl_Customers[Customer_ID],tbl_Customers[Standard_Rate],0))</f>
        <v/>
      </c>
      <c r="N34" s="1"/>
      <c r="O34" s="1"/>
      <c r="P34" s="1"/>
    </row>
    <row r="35" spans="1:16" ht="14.45" customHeight="1" x14ac:dyDescent="0.45">
      <c r="A35" s="1"/>
      <c r="B35" s="7"/>
      <c r="C35" s="20"/>
      <c r="D35" s="7"/>
      <c r="E35" s="11" t="str">
        <f>IF(tbl_Jobs[[#This Row],[Customer_ID]]="","",_xlfn.XLOOKUP(tbl_Jobs[[#This Row],[Customer_ID]],tbl_Customers[Customer_ID],tbl_Customers[Customer_Name],"Not matched"))</f>
        <v/>
      </c>
      <c r="F35" s="11" t="str">
        <f>IF(tbl_Jobs[[#This Row],[Customer_ID]]="","",_xlfn.XLOOKUP(tbl_Jobs[[#This Row],[Customer_ID]],tbl_Customers[Customer_ID],tbl_Customers[Service_Address],"Not matched"))</f>
        <v/>
      </c>
      <c r="G35" s="11" t="str">
        <f>IF(tbl_Jobs[[#This Row],[Customer_ID]]="","",_xlfn.XLOOKUP(tbl_Jobs[[#This Row],[Customer_ID]],tbl_Customers[Customer_ID],tbl_Customers[Default_Service],"Not matched"))</f>
        <v/>
      </c>
      <c r="H35" s="11" t="str">
        <f>IF(tbl_Jobs[[#This Row],[Customer_ID]]="","",_xlfn.XLOOKUP(tbl_Jobs[[#This Row],[Customer_ID]],tbl_Customers[Customer_ID],tbl_Customers[Special_Notes],""))</f>
        <v/>
      </c>
      <c r="I35" s="7"/>
      <c r="J35" s="7"/>
      <c r="K35" s="10"/>
      <c r="L35" s="7"/>
      <c r="M35" s="8" t="str">
        <f>IF(tbl_Jobs[[#This Row],[Customer_ID]]="","",_xlfn.XLOOKUP(tbl_Jobs[[#This Row],[Customer_ID]],tbl_Customers[Customer_ID],tbl_Customers[Standard_Rate],0))</f>
        <v/>
      </c>
      <c r="N35" s="1"/>
      <c r="O35" s="1"/>
      <c r="P35" s="1"/>
    </row>
    <row r="36" spans="1:16" ht="14.45" customHeight="1" x14ac:dyDescent="0.45">
      <c r="A36" s="1"/>
      <c r="B36" s="7"/>
      <c r="C36" s="20"/>
      <c r="D36" s="7"/>
      <c r="E36" s="9" t="str">
        <f>IF(tbl_Jobs[[#This Row],[Customer_ID]]="","",_xlfn.XLOOKUP(tbl_Jobs[[#This Row],[Customer_ID]],tbl_Customers[Customer_ID],tbl_Customers[Customer_Name],"Not matched"))</f>
        <v/>
      </c>
      <c r="F36" s="9" t="str">
        <f>IF(tbl_Jobs[[#This Row],[Customer_ID]]="","",_xlfn.XLOOKUP(tbl_Jobs[[#This Row],[Customer_ID]],tbl_Customers[Customer_ID],tbl_Customers[Service_Address],"Not matched"))</f>
        <v/>
      </c>
      <c r="G36" s="9" t="str">
        <f>IF(tbl_Jobs[[#This Row],[Customer_ID]]="","",_xlfn.XLOOKUP(tbl_Jobs[[#This Row],[Customer_ID]],tbl_Customers[Customer_ID],tbl_Customers[Default_Service],"Not matched"))</f>
        <v/>
      </c>
      <c r="H36" s="9" t="str">
        <f>IF(tbl_Jobs[[#This Row],[Customer_ID]]="","",_xlfn.XLOOKUP(tbl_Jobs[[#This Row],[Customer_ID]],tbl_Customers[Customer_ID],tbl_Customers[Special_Notes],""))</f>
        <v/>
      </c>
      <c r="I36" s="7"/>
      <c r="J36" s="7"/>
      <c r="K36" s="10"/>
      <c r="L36" s="7"/>
      <c r="M36" s="8" t="str">
        <f>IF(tbl_Jobs[[#This Row],[Customer_ID]]="","",_xlfn.XLOOKUP(tbl_Jobs[[#This Row],[Customer_ID]],tbl_Customers[Customer_ID],tbl_Customers[Standard_Rate],0))</f>
        <v/>
      </c>
      <c r="N36" s="1"/>
      <c r="O36" s="1"/>
      <c r="P36" s="1"/>
    </row>
    <row r="37" spans="1:16" ht="14.45" customHeight="1" x14ac:dyDescent="0.45">
      <c r="A37" s="1"/>
      <c r="B37" s="7"/>
      <c r="C37" s="20"/>
      <c r="D37" s="7"/>
      <c r="E37" s="11" t="str">
        <f>IF(tbl_Jobs[[#This Row],[Customer_ID]]="","",_xlfn.XLOOKUP(tbl_Jobs[[#This Row],[Customer_ID]],tbl_Customers[Customer_ID],tbl_Customers[Customer_Name],"Not matched"))</f>
        <v/>
      </c>
      <c r="F37" s="11" t="str">
        <f>IF(tbl_Jobs[[#This Row],[Customer_ID]]="","",_xlfn.XLOOKUP(tbl_Jobs[[#This Row],[Customer_ID]],tbl_Customers[Customer_ID],tbl_Customers[Service_Address],"Not matched"))</f>
        <v/>
      </c>
      <c r="G37" s="11" t="str">
        <f>IF(tbl_Jobs[[#This Row],[Customer_ID]]="","",_xlfn.XLOOKUP(tbl_Jobs[[#This Row],[Customer_ID]],tbl_Customers[Customer_ID],tbl_Customers[Default_Service],"Not matched"))</f>
        <v/>
      </c>
      <c r="H37" s="11" t="str">
        <f>IF(tbl_Jobs[[#This Row],[Customer_ID]]="","",_xlfn.XLOOKUP(tbl_Jobs[[#This Row],[Customer_ID]],tbl_Customers[Customer_ID],tbl_Customers[Special_Notes],""))</f>
        <v/>
      </c>
      <c r="I37" s="7"/>
      <c r="J37" s="7"/>
      <c r="K37" s="10"/>
      <c r="L37" s="7"/>
      <c r="M37" s="8" t="str">
        <f>IF(tbl_Jobs[[#This Row],[Customer_ID]]="","",_xlfn.XLOOKUP(tbl_Jobs[[#This Row],[Customer_ID]],tbl_Customers[Customer_ID],tbl_Customers[Standard_Rate],0))</f>
        <v/>
      </c>
      <c r="N37" s="1"/>
      <c r="O37" s="1"/>
      <c r="P37" s="1"/>
    </row>
    <row r="38" spans="1:16" ht="14.45" customHeight="1" x14ac:dyDescent="0.45">
      <c r="A38" s="1"/>
      <c r="B38" s="7"/>
      <c r="C38" s="20"/>
      <c r="D38" s="7"/>
      <c r="E38" s="9" t="str">
        <f>IF(tbl_Jobs[[#This Row],[Customer_ID]]="","",_xlfn.XLOOKUP(tbl_Jobs[[#This Row],[Customer_ID]],tbl_Customers[Customer_ID],tbl_Customers[Customer_Name],"Not matched"))</f>
        <v/>
      </c>
      <c r="F38" s="9" t="str">
        <f>IF(tbl_Jobs[[#This Row],[Customer_ID]]="","",_xlfn.XLOOKUP(tbl_Jobs[[#This Row],[Customer_ID]],tbl_Customers[Customer_ID],tbl_Customers[Service_Address],"Not matched"))</f>
        <v/>
      </c>
      <c r="G38" s="9" t="str">
        <f>IF(tbl_Jobs[[#This Row],[Customer_ID]]="","",_xlfn.XLOOKUP(tbl_Jobs[[#This Row],[Customer_ID]],tbl_Customers[Customer_ID],tbl_Customers[Default_Service],"Not matched"))</f>
        <v/>
      </c>
      <c r="H38" s="9" t="str">
        <f>IF(tbl_Jobs[[#This Row],[Customer_ID]]="","",_xlfn.XLOOKUP(tbl_Jobs[[#This Row],[Customer_ID]],tbl_Customers[Customer_ID],tbl_Customers[Special_Notes],""))</f>
        <v/>
      </c>
      <c r="I38" s="7"/>
      <c r="J38" s="7"/>
      <c r="K38" s="10"/>
      <c r="L38" s="7"/>
      <c r="M38" s="8" t="str">
        <f>IF(tbl_Jobs[[#This Row],[Customer_ID]]="","",_xlfn.XLOOKUP(tbl_Jobs[[#This Row],[Customer_ID]],tbl_Customers[Customer_ID],tbl_Customers[Standard_Rate],0))</f>
        <v/>
      </c>
      <c r="N38" s="1"/>
      <c r="O38" s="1"/>
      <c r="P38" s="1"/>
    </row>
    <row r="39" spans="1:16" ht="14.45" customHeight="1" x14ac:dyDescent="0.45">
      <c r="A39" s="1"/>
      <c r="B39" s="7"/>
      <c r="C39" s="20"/>
      <c r="D39" s="7"/>
      <c r="E39" s="11" t="str">
        <f>IF(tbl_Jobs[[#This Row],[Customer_ID]]="","",_xlfn.XLOOKUP(tbl_Jobs[[#This Row],[Customer_ID]],tbl_Customers[Customer_ID],tbl_Customers[Customer_Name],"Not matched"))</f>
        <v/>
      </c>
      <c r="F39" s="11" t="str">
        <f>IF(tbl_Jobs[[#This Row],[Customer_ID]]="","",_xlfn.XLOOKUP(tbl_Jobs[[#This Row],[Customer_ID]],tbl_Customers[Customer_ID],tbl_Customers[Service_Address],"Not matched"))</f>
        <v/>
      </c>
      <c r="G39" s="11" t="str">
        <f>IF(tbl_Jobs[[#This Row],[Customer_ID]]="","",_xlfn.XLOOKUP(tbl_Jobs[[#This Row],[Customer_ID]],tbl_Customers[Customer_ID],tbl_Customers[Default_Service],"Not matched"))</f>
        <v/>
      </c>
      <c r="H39" s="11" t="str">
        <f>IF(tbl_Jobs[[#This Row],[Customer_ID]]="","",_xlfn.XLOOKUP(tbl_Jobs[[#This Row],[Customer_ID]],tbl_Customers[Customer_ID],tbl_Customers[Special_Notes],""))</f>
        <v/>
      </c>
      <c r="I39" s="7"/>
      <c r="J39" s="7"/>
      <c r="K39" s="10"/>
      <c r="L39" s="7"/>
      <c r="M39" s="8" t="str">
        <f>IF(tbl_Jobs[[#This Row],[Customer_ID]]="","",_xlfn.XLOOKUP(tbl_Jobs[[#This Row],[Customer_ID]],tbl_Customers[Customer_ID],tbl_Customers[Standard_Rate],0))</f>
        <v/>
      </c>
      <c r="N39" s="1"/>
      <c r="O39" s="1"/>
      <c r="P39" s="1"/>
    </row>
    <row r="40" spans="1:16" ht="14.45" customHeight="1" x14ac:dyDescent="0.45">
      <c r="A40" s="1"/>
      <c r="B40" s="7"/>
      <c r="C40" s="20"/>
      <c r="D40" s="7"/>
      <c r="E40" s="9" t="str">
        <f>IF(tbl_Jobs[[#This Row],[Customer_ID]]="","",_xlfn.XLOOKUP(tbl_Jobs[[#This Row],[Customer_ID]],tbl_Customers[Customer_ID],tbl_Customers[Customer_Name],"Not matched"))</f>
        <v/>
      </c>
      <c r="F40" s="9" t="str">
        <f>IF(tbl_Jobs[[#This Row],[Customer_ID]]="","",_xlfn.XLOOKUP(tbl_Jobs[[#This Row],[Customer_ID]],tbl_Customers[Customer_ID],tbl_Customers[Service_Address],"Not matched"))</f>
        <v/>
      </c>
      <c r="G40" s="9" t="str">
        <f>IF(tbl_Jobs[[#This Row],[Customer_ID]]="","",_xlfn.XLOOKUP(tbl_Jobs[[#This Row],[Customer_ID]],tbl_Customers[Customer_ID],tbl_Customers[Default_Service],"Not matched"))</f>
        <v/>
      </c>
      <c r="H40" s="9" t="str">
        <f>IF(tbl_Jobs[[#This Row],[Customer_ID]]="","",_xlfn.XLOOKUP(tbl_Jobs[[#This Row],[Customer_ID]],tbl_Customers[Customer_ID],tbl_Customers[Special_Notes],""))</f>
        <v/>
      </c>
      <c r="I40" s="7"/>
      <c r="J40" s="7"/>
      <c r="K40" s="10"/>
      <c r="L40" s="7"/>
      <c r="M40" s="8" t="str">
        <f>IF(tbl_Jobs[[#This Row],[Customer_ID]]="","",_xlfn.XLOOKUP(tbl_Jobs[[#This Row],[Customer_ID]],tbl_Customers[Customer_ID],tbl_Customers[Standard_Rate],0))</f>
        <v/>
      </c>
      <c r="N40" s="1"/>
      <c r="O40" s="1"/>
      <c r="P40" s="1"/>
    </row>
    <row r="41" spans="1:16" ht="14.45" customHeight="1" x14ac:dyDescent="0.45">
      <c r="A41" s="1"/>
      <c r="B41" s="7"/>
      <c r="C41" s="20"/>
      <c r="D41" s="7"/>
      <c r="E41" s="11" t="str">
        <f>IF(tbl_Jobs[[#This Row],[Customer_ID]]="","",_xlfn.XLOOKUP(tbl_Jobs[[#This Row],[Customer_ID]],tbl_Customers[Customer_ID],tbl_Customers[Customer_Name],"Not matched"))</f>
        <v/>
      </c>
      <c r="F41" s="11" t="str">
        <f>IF(tbl_Jobs[[#This Row],[Customer_ID]]="","",_xlfn.XLOOKUP(tbl_Jobs[[#This Row],[Customer_ID]],tbl_Customers[Customer_ID],tbl_Customers[Service_Address],"Not matched"))</f>
        <v/>
      </c>
      <c r="G41" s="11" t="str">
        <f>IF(tbl_Jobs[[#This Row],[Customer_ID]]="","",_xlfn.XLOOKUP(tbl_Jobs[[#This Row],[Customer_ID]],tbl_Customers[Customer_ID],tbl_Customers[Default_Service],"Not matched"))</f>
        <v/>
      </c>
      <c r="H41" s="11" t="str">
        <f>IF(tbl_Jobs[[#This Row],[Customer_ID]]="","",_xlfn.XLOOKUP(tbl_Jobs[[#This Row],[Customer_ID]],tbl_Customers[Customer_ID],tbl_Customers[Special_Notes],""))</f>
        <v/>
      </c>
      <c r="I41" s="7"/>
      <c r="J41" s="7"/>
      <c r="K41" s="10"/>
      <c r="L41" s="7"/>
      <c r="M41" s="8" t="str">
        <f>IF(tbl_Jobs[[#This Row],[Customer_ID]]="","",_xlfn.XLOOKUP(tbl_Jobs[[#This Row],[Customer_ID]],tbl_Customers[Customer_ID],tbl_Customers[Standard_Rate],0))</f>
        <v/>
      </c>
      <c r="N41" s="1"/>
      <c r="O41" s="1"/>
      <c r="P41" s="1"/>
    </row>
    <row r="42" spans="1:16" ht="14.45" customHeight="1" x14ac:dyDescent="0.45">
      <c r="A42" s="1"/>
      <c r="B42" s="7"/>
      <c r="C42" s="20"/>
      <c r="D42" s="7"/>
      <c r="E42" s="9" t="str">
        <f>IF(tbl_Jobs[[#This Row],[Customer_ID]]="","",_xlfn.XLOOKUP(tbl_Jobs[[#This Row],[Customer_ID]],tbl_Customers[Customer_ID],tbl_Customers[Customer_Name],"Not matched"))</f>
        <v/>
      </c>
      <c r="F42" s="9" t="str">
        <f>IF(tbl_Jobs[[#This Row],[Customer_ID]]="","",_xlfn.XLOOKUP(tbl_Jobs[[#This Row],[Customer_ID]],tbl_Customers[Customer_ID],tbl_Customers[Service_Address],"Not matched"))</f>
        <v/>
      </c>
      <c r="G42" s="9" t="str">
        <f>IF(tbl_Jobs[[#This Row],[Customer_ID]]="","",_xlfn.XLOOKUP(tbl_Jobs[[#This Row],[Customer_ID]],tbl_Customers[Customer_ID],tbl_Customers[Default_Service],"Not matched"))</f>
        <v/>
      </c>
      <c r="H42" s="9" t="str">
        <f>IF(tbl_Jobs[[#This Row],[Customer_ID]]="","",_xlfn.XLOOKUP(tbl_Jobs[[#This Row],[Customer_ID]],tbl_Customers[Customer_ID],tbl_Customers[Special_Notes],""))</f>
        <v/>
      </c>
      <c r="I42" s="7"/>
      <c r="J42" s="7"/>
      <c r="K42" s="10"/>
      <c r="L42" s="7"/>
      <c r="M42" s="8" t="str">
        <f>IF(tbl_Jobs[[#This Row],[Customer_ID]]="","",_xlfn.XLOOKUP(tbl_Jobs[[#This Row],[Customer_ID]],tbl_Customers[Customer_ID],tbl_Customers[Standard_Rate],0))</f>
        <v/>
      </c>
      <c r="N42" s="1"/>
      <c r="O42" s="1"/>
      <c r="P42" s="1"/>
    </row>
    <row r="43" spans="1:16" ht="14.45" customHeight="1" x14ac:dyDescent="0.45">
      <c r="A43" s="1"/>
      <c r="B43" s="7"/>
      <c r="C43" s="20"/>
      <c r="D43" s="7"/>
      <c r="E43" s="11" t="str">
        <f>IF(tbl_Jobs[[#This Row],[Customer_ID]]="","",_xlfn.XLOOKUP(tbl_Jobs[[#This Row],[Customer_ID]],tbl_Customers[Customer_ID],tbl_Customers[Customer_Name],"Not matched"))</f>
        <v/>
      </c>
      <c r="F43" s="11" t="str">
        <f>IF(tbl_Jobs[[#This Row],[Customer_ID]]="","",_xlfn.XLOOKUP(tbl_Jobs[[#This Row],[Customer_ID]],tbl_Customers[Customer_ID],tbl_Customers[Service_Address],"Not matched"))</f>
        <v/>
      </c>
      <c r="G43" s="11" t="str">
        <f>IF(tbl_Jobs[[#This Row],[Customer_ID]]="","",_xlfn.XLOOKUP(tbl_Jobs[[#This Row],[Customer_ID]],tbl_Customers[Customer_ID],tbl_Customers[Default_Service],"Not matched"))</f>
        <v/>
      </c>
      <c r="H43" s="11" t="str">
        <f>IF(tbl_Jobs[[#This Row],[Customer_ID]]="","",_xlfn.XLOOKUP(tbl_Jobs[[#This Row],[Customer_ID]],tbl_Customers[Customer_ID],tbl_Customers[Special_Notes],""))</f>
        <v/>
      </c>
      <c r="I43" s="7"/>
      <c r="J43" s="7"/>
      <c r="K43" s="10"/>
      <c r="L43" s="7"/>
      <c r="M43" s="8" t="str">
        <f>IF(tbl_Jobs[[#This Row],[Customer_ID]]="","",_xlfn.XLOOKUP(tbl_Jobs[[#This Row],[Customer_ID]],tbl_Customers[Customer_ID],tbl_Customers[Standard_Rate],0))</f>
        <v/>
      </c>
      <c r="N43" s="1"/>
      <c r="O43" s="1"/>
      <c r="P43" s="1"/>
    </row>
    <row r="44" spans="1:16" ht="14.45" customHeight="1" x14ac:dyDescent="0.45">
      <c r="A44" s="1"/>
      <c r="B44" s="7"/>
      <c r="C44" s="20"/>
      <c r="D44" s="7"/>
      <c r="E44" s="9" t="str">
        <f>IF(tbl_Jobs[[#This Row],[Customer_ID]]="","",_xlfn.XLOOKUP(tbl_Jobs[[#This Row],[Customer_ID]],tbl_Customers[Customer_ID],tbl_Customers[Customer_Name],"Not matched"))</f>
        <v/>
      </c>
      <c r="F44" s="9" t="str">
        <f>IF(tbl_Jobs[[#This Row],[Customer_ID]]="","",_xlfn.XLOOKUP(tbl_Jobs[[#This Row],[Customer_ID]],tbl_Customers[Customer_ID],tbl_Customers[Service_Address],"Not matched"))</f>
        <v/>
      </c>
      <c r="G44" s="9" t="str">
        <f>IF(tbl_Jobs[[#This Row],[Customer_ID]]="","",_xlfn.XLOOKUP(tbl_Jobs[[#This Row],[Customer_ID]],tbl_Customers[Customer_ID],tbl_Customers[Default_Service],"Not matched"))</f>
        <v/>
      </c>
      <c r="H44" s="9" t="str">
        <f>IF(tbl_Jobs[[#This Row],[Customer_ID]]="","",_xlfn.XLOOKUP(tbl_Jobs[[#This Row],[Customer_ID]],tbl_Customers[Customer_ID],tbl_Customers[Special_Notes],""))</f>
        <v/>
      </c>
      <c r="I44" s="7"/>
      <c r="J44" s="7"/>
      <c r="K44" s="10"/>
      <c r="L44" s="7"/>
      <c r="M44" s="8" t="str">
        <f>IF(tbl_Jobs[[#This Row],[Customer_ID]]="","",_xlfn.XLOOKUP(tbl_Jobs[[#This Row],[Customer_ID]],tbl_Customers[Customer_ID],tbl_Customers[Standard_Rate],0))</f>
        <v/>
      </c>
      <c r="N44" s="1"/>
      <c r="O44" s="1"/>
      <c r="P44" s="1"/>
    </row>
    <row r="45" spans="1:16" ht="14.45" customHeight="1" x14ac:dyDescent="0.45">
      <c r="A45" s="1"/>
      <c r="B45" s="7"/>
      <c r="C45" s="20"/>
      <c r="D45" s="7"/>
      <c r="E45" s="11" t="str">
        <f>IF(tbl_Jobs[[#This Row],[Customer_ID]]="","",_xlfn.XLOOKUP(tbl_Jobs[[#This Row],[Customer_ID]],tbl_Customers[Customer_ID],tbl_Customers[Customer_Name],"Not matched"))</f>
        <v/>
      </c>
      <c r="F45" s="11" t="str">
        <f>IF(tbl_Jobs[[#This Row],[Customer_ID]]="","",_xlfn.XLOOKUP(tbl_Jobs[[#This Row],[Customer_ID]],tbl_Customers[Customer_ID],tbl_Customers[Service_Address],"Not matched"))</f>
        <v/>
      </c>
      <c r="G45" s="11" t="str">
        <f>IF(tbl_Jobs[[#This Row],[Customer_ID]]="","",_xlfn.XLOOKUP(tbl_Jobs[[#This Row],[Customer_ID]],tbl_Customers[Customer_ID],tbl_Customers[Default_Service],"Not matched"))</f>
        <v/>
      </c>
      <c r="H45" s="11" t="str">
        <f>IF(tbl_Jobs[[#This Row],[Customer_ID]]="","",_xlfn.XLOOKUP(tbl_Jobs[[#This Row],[Customer_ID]],tbl_Customers[Customer_ID],tbl_Customers[Special_Notes],""))</f>
        <v/>
      </c>
      <c r="I45" s="7"/>
      <c r="J45" s="7"/>
      <c r="K45" s="10"/>
      <c r="L45" s="7"/>
      <c r="M45" s="8" t="str">
        <f>IF(tbl_Jobs[[#This Row],[Customer_ID]]="","",_xlfn.XLOOKUP(tbl_Jobs[[#This Row],[Customer_ID]],tbl_Customers[Customer_ID],tbl_Customers[Standard_Rate],0))</f>
        <v/>
      </c>
      <c r="N45" s="1"/>
      <c r="O45" s="1"/>
      <c r="P45" s="1"/>
    </row>
    <row r="46" spans="1:16" ht="14.45" customHeight="1" x14ac:dyDescent="0.45">
      <c r="A46" s="1"/>
      <c r="B46" s="7"/>
      <c r="C46" s="20"/>
      <c r="D46" s="7"/>
      <c r="E46" s="9" t="str">
        <f>IF(tbl_Jobs[[#This Row],[Customer_ID]]="","",_xlfn.XLOOKUP(tbl_Jobs[[#This Row],[Customer_ID]],tbl_Customers[Customer_ID],tbl_Customers[Customer_Name],"Not matched"))</f>
        <v/>
      </c>
      <c r="F46" s="9" t="str">
        <f>IF(tbl_Jobs[[#This Row],[Customer_ID]]="","",_xlfn.XLOOKUP(tbl_Jobs[[#This Row],[Customer_ID]],tbl_Customers[Customer_ID],tbl_Customers[Service_Address],"Not matched"))</f>
        <v/>
      </c>
      <c r="G46" s="9" t="str">
        <f>IF(tbl_Jobs[[#This Row],[Customer_ID]]="","",_xlfn.XLOOKUP(tbl_Jobs[[#This Row],[Customer_ID]],tbl_Customers[Customer_ID],tbl_Customers[Default_Service],"Not matched"))</f>
        <v/>
      </c>
      <c r="H46" s="9" t="str">
        <f>IF(tbl_Jobs[[#This Row],[Customer_ID]]="","",_xlfn.XLOOKUP(tbl_Jobs[[#This Row],[Customer_ID]],tbl_Customers[Customer_ID],tbl_Customers[Special_Notes],""))</f>
        <v/>
      </c>
      <c r="I46" s="7"/>
      <c r="J46" s="7"/>
      <c r="K46" s="10"/>
      <c r="L46" s="7"/>
      <c r="M46" s="8" t="str">
        <f>IF(tbl_Jobs[[#This Row],[Customer_ID]]="","",_xlfn.XLOOKUP(tbl_Jobs[[#This Row],[Customer_ID]],tbl_Customers[Customer_ID],tbl_Customers[Standard_Rate],0))</f>
        <v/>
      </c>
      <c r="N46" s="1"/>
      <c r="O46" s="1"/>
      <c r="P46" s="1"/>
    </row>
    <row r="47" spans="1:16" ht="14.45" customHeight="1" x14ac:dyDescent="0.45">
      <c r="A47" s="1"/>
      <c r="B47" s="7"/>
      <c r="C47" s="20"/>
      <c r="D47" s="7"/>
      <c r="E47" s="11" t="str">
        <f>IF(tbl_Jobs[[#This Row],[Customer_ID]]="","",_xlfn.XLOOKUP(tbl_Jobs[[#This Row],[Customer_ID]],tbl_Customers[Customer_ID],tbl_Customers[Customer_Name],"Not matched"))</f>
        <v/>
      </c>
      <c r="F47" s="11" t="str">
        <f>IF(tbl_Jobs[[#This Row],[Customer_ID]]="","",_xlfn.XLOOKUP(tbl_Jobs[[#This Row],[Customer_ID]],tbl_Customers[Customer_ID],tbl_Customers[Service_Address],"Not matched"))</f>
        <v/>
      </c>
      <c r="G47" s="11" t="str">
        <f>IF(tbl_Jobs[[#This Row],[Customer_ID]]="","",_xlfn.XLOOKUP(tbl_Jobs[[#This Row],[Customer_ID]],tbl_Customers[Customer_ID],tbl_Customers[Default_Service],"Not matched"))</f>
        <v/>
      </c>
      <c r="H47" s="11" t="str">
        <f>IF(tbl_Jobs[[#This Row],[Customer_ID]]="","",_xlfn.XLOOKUP(tbl_Jobs[[#This Row],[Customer_ID]],tbl_Customers[Customer_ID],tbl_Customers[Special_Notes],""))</f>
        <v/>
      </c>
      <c r="I47" s="7"/>
      <c r="J47" s="7"/>
      <c r="K47" s="10"/>
      <c r="L47" s="7"/>
      <c r="M47" s="8" t="str">
        <f>IF(tbl_Jobs[[#This Row],[Customer_ID]]="","",_xlfn.XLOOKUP(tbl_Jobs[[#This Row],[Customer_ID]],tbl_Customers[Customer_ID],tbl_Customers[Standard_Rate],0))</f>
        <v/>
      </c>
      <c r="N47" s="1"/>
      <c r="O47" s="1"/>
      <c r="P47" s="1"/>
    </row>
    <row r="48" spans="1:16" ht="14.45" customHeight="1" x14ac:dyDescent="0.45">
      <c r="A48" s="1"/>
      <c r="B48" s="7"/>
      <c r="C48" s="20"/>
      <c r="D48" s="7"/>
      <c r="E48" s="9" t="str">
        <f>IF(tbl_Jobs[[#This Row],[Customer_ID]]="","",_xlfn.XLOOKUP(tbl_Jobs[[#This Row],[Customer_ID]],tbl_Customers[Customer_ID],tbl_Customers[Customer_Name],"Not matched"))</f>
        <v/>
      </c>
      <c r="F48" s="9" t="str">
        <f>IF(tbl_Jobs[[#This Row],[Customer_ID]]="","",_xlfn.XLOOKUP(tbl_Jobs[[#This Row],[Customer_ID]],tbl_Customers[Customer_ID],tbl_Customers[Service_Address],"Not matched"))</f>
        <v/>
      </c>
      <c r="G48" s="9" t="str">
        <f>IF(tbl_Jobs[[#This Row],[Customer_ID]]="","",_xlfn.XLOOKUP(tbl_Jobs[[#This Row],[Customer_ID]],tbl_Customers[Customer_ID],tbl_Customers[Default_Service],"Not matched"))</f>
        <v/>
      </c>
      <c r="H48" s="9" t="str">
        <f>IF(tbl_Jobs[[#This Row],[Customer_ID]]="","",_xlfn.XLOOKUP(tbl_Jobs[[#This Row],[Customer_ID]],tbl_Customers[Customer_ID],tbl_Customers[Special_Notes],""))</f>
        <v/>
      </c>
      <c r="I48" s="7"/>
      <c r="J48" s="7"/>
      <c r="K48" s="10"/>
      <c r="L48" s="7"/>
      <c r="M48" s="8" t="str">
        <f>IF(tbl_Jobs[[#This Row],[Customer_ID]]="","",_xlfn.XLOOKUP(tbl_Jobs[[#This Row],[Customer_ID]],tbl_Customers[Customer_ID],tbl_Customers[Standard_Rate],0))</f>
        <v/>
      </c>
      <c r="N48" s="1"/>
      <c r="O48" s="1"/>
      <c r="P48" s="1"/>
    </row>
    <row r="49" spans="1:16" ht="14.45" customHeight="1" x14ac:dyDescent="0.45">
      <c r="A49" s="1"/>
      <c r="B49" s="7"/>
      <c r="C49" s="20"/>
      <c r="D49" s="7"/>
      <c r="E49" s="11" t="str">
        <f>IF(tbl_Jobs[[#This Row],[Customer_ID]]="","",_xlfn.XLOOKUP(tbl_Jobs[[#This Row],[Customer_ID]],tbl_Customers[Customer_ID],tbl_Customers[Customer_Name],"Not matched"))</f>
        <v/>
      </c>
      <c r="F49" s="11" t="str">
        <f>IF(tbl_Jobs[[#This Row],[Customer_ID]]="","",_xlfn.XLOOKUP(tbl_Jobs[[#This Row],[Customer_ID]],tbl_Customers[Customer_ID],tbl_Customers[Service_Address],"Not matched"))</f>
        <v/>
      </c>
      <c r="G49" s="11" t="str">
        <f>IF(tbl_Jobs[[#This Row],[Customer_ID]]="","",_xlfn.XLOOKUP(tbl_Jobs[[#This Row],[Customer_ID]],tbl_Customers[Customer_ID],tbl_Customers[Default_Service],"Not matched"))</f>
        <v/>
      </c>
      <c r="H49" s="11" t="str">
        <f>IF(tbl_Jobs[[#This Row],[Customer_ID]]="","",_xlfn.XLOOKUP(tbl_Jobs[[#This Row],[Customer_ID]],tbl_Customers[Customer_ID],tbl_Customers[Special_Notes],""))</f>
        <v/>
      </c>
      <c r="I49" s="7"/>
      <c r="J49" s="7"/>
      <c r="K49" s="10"/>
      <c r="L49" s="7"/>
      <c r="M49" s="8" t="str">
        <f>IF(tbl_Jobs[[#This Row],[Customer_ID]]="","",_xlfn.XLOOKUP(tbl_Jobs[[#This Row],[Customer_ID]],tbl_Customers[Customer_ID],tbl_Customers[Standard_Rate],0))</f>
        <v/>
      </c>
      <c r="N49" s="1"/>
      <c r="O49" s="1"/>
      <c r="P49" s="1"/>
    </row>
    <row r="50" spans="1:16" ht="14.45" customHeight="1" x14ac:dyDescent="0.45">
      <c r="A50" s="1"/>
      <c r="B50" s="7"/>
      <c r="C50" s="20"/>
      <c r="D50" s="7"/>
      <c r="E50" s="9" t="str">
        <f>IF(tbl_Jobs[[#This Row],[Customer_ID]]="","",_xlfn.XLOOKUP(tbl_Jobs[[#This Row],[Customer_ID]],tbl_Customers[Customer_ID],tbl_Customers[Customer_Name],"Not matched"))</f>
        <v/>
      </c>
      <c r="F50" s="9" t="str">
        <f>IF(tbl_Jobs[[#This Row],[Customer_ID]]="","",_xlfn.XLOOKUP(tbl_Jobs[[#This Row],[Customer_ID]],tbl_Customers[Customer_ID],tbl_Customers[Service_Address],"Not matched"))</f>
        <v/>
      </c>
      <c r="G50" s="9" t="str">
        <f>IF(tbl_Jobs[[#This Row],[Customer_ID]]="","",_xlfn.XLOOKUP(tbl_Jobs[[#This Row],[Customer_ID]],tbl_Customers[Customer_ID],tbl_Customers[Default_Service],"Not matched"))</f>
        <v/>
      </c>
      <c r="H50" s="9" t="str">
        <f>IF(tbl_Jobs[[#This Row],[Customer_ID]]="","",_xlfn.XLOOKUP(tbl_Jobs[[#This Row],[Customer_ID]],tbl_Customers[Customer_ID],tbl_Customers[Special_Notes],""))</f>
        <v/>
      </c>
      <c r="I50" s="7"/>
      <c r="J50" s="7"/>
      <c r="K50" s="10"/>
      <c r="L50" s="7"/>
      <c r="M50" s="8" t="str">
        <f>IF(tbl_Jobs[[#This Row],[Customer_ID]]="","",_xlfn.XLOOKUP(tbl_Jobs[[#This Row],[Customer_ID]],tbl_Customers[Customer_ID],tbl_Customers[Standard_Rate],0))</f>
        <v/>
      </c>
      <c r="N50" s="1"/>
      <c r="O50" s="1"/>
      <c r="P50" s="1"/>
    </row>
    <row r="51" spans="1:16" ht="14.45" customHeight="1" x14ac:dyDescent="0.45">
      <c r="A51" s="1"/>
      <c r="B51" s="7"/>
      <c r="C51" s="20"/>
      <c r="D51" s="7"/>
      <c r="E51" s="11" t="str">
        <f>IF(tbl_Jobs[[#This Row],[Customer_ID]]="","",_xlfn.XLOOKUP(tbl_Jobs[[#This Row],[Customer_ID]],tbl_Customers[Customer_ID],tbl_Customers[Customer_Name],"Not matched"))</f>
        <v/>
      </c>
      <c r="F51" s="11" t="str">
        <f>IF(tbl_Jobs[[#This Row],[Customer_ID]]="","",_xlfn.XLOOKUP(tbl_Jobs[[#This Row],[Customer_ID]],tbl_Customers[Customer_ID],tbl_Customers[Service_Address],"Not matched"))</f>
        <v/>
      </c>
      <c r="G51" s="11" t="str">
        <f>IF(tbl_Jobs[[#This Row],[Customer_ID]]="","",_xlfn.XLOOKUP(tbl_Jobs[[#This Row],[Customer_ID]],tbl_Customers[Customer_ID],tbl_Customers[Default_Service],"Not matched"))</f>
        <v/>
      </c>
      <c r="H51" s="11" t="str">
        <f>IF(tbl_Jobs[[#This Row],[Customer_ID]]="","",_xlfn.XLOOKUP(tbl_Jobs[[#This Row],[Customer_ID]],tbl_Customers[Customer_ID],tbl_Customers[Special_Notes],""))</f>
        <v/>
      </c>
      <c r="I51" s="7"/>
      <c r="J51" s="7"/>
      <c r="K51" s="10"/>
      <c r="L51" s="7"/>
      <c r="M51" s="8" t="str">
        <f>IF(tbl_Jobs[[#This Row],[Customer_ID]]="","",_xlfn.XLOOKUP(tbl_Jobs[[#This Row],[Customer_ID]],tbl_Customers[Customer_ID],tbl_Customers[Standard_Rate],0))</f>
        <v/>
      </c>
      <c r="N51" s="1"/>
      <c r="O51" s="1"/>
      <c r="P51" s="1"/>
    </row>
    <row r="52" spans="1:16" ht="14.45" customHeight="1" x14ac:dyDescent="0.45">
      <c r="A52" s="1"/>
      <c r="B52" s="7"/>
      <c r="C52" s="20"/>
      <c r="D52" s="7"/>
      <c r="E52" s="9" t="str">
        <f>IF(tbl_Jobs[[#This Row],[Customer_ID]]="","",_xlfn.XLOOKUP(tbl_Jobs[[#This Row],[Customer_ID]],tbl_Customers[Customer_ID],tbl_Customers[Customer_Name],"Not matched"))</f>
        <v/>
      </c>
      <c r="F52" s="9" t="str">
        <f>IF(tbl_Jobs[[#This Row],[Customer_ID]]="","",_xlfn.XLOOKUP(tbl_Jobs[[#This Row],[Customer_ID]],tbl_Customers[Customer_ID],tbl_Customers[Service_Address],"Not matched"))</f>
        <v/>
      </c>
      <c r="G52" s="9" t="str">
        <f>IF(tbl_Jobs[[#This Row],[Customer_ID]]="","",_xlfn.XLOOKUP(tbl_Jobs[[#This Row],[Customer_ID]],tbl_Customers[Customer_ID],tbl_Customers[Default_Service],"Not matched"))</f>
        <v/>
      </c>
      <c r="H52" s="9" t="str">
        <f>IF(tbl_Jobs[[#This Row],[Customer_ID]]="","",_xlfn.XLOOKUP(tbl_Jobs[[#This Row],[Customer_ID]],tbl_Customers[Customer_ID],tbl_Customers[Special_Notes],""))</f>
        <v/>
      </c>
      <c r="I52" s="7"/>
      <c r="J52" s="7"/>
      <c r="K52" s="10"/>
      <c r="L52" s="7"/>
      <c r="M52" s="8" t="str">
        <f>IF(tbl_Jobs[[#This Row],[Customer_ID]]="","",_xlfn.XLOOKUP(tbl_Jobs[[#This Row],[Customer_ID]],tbl_Customers[Customer_ID],tbl_Customers[Standard_Rate],0))</f>
        <v/>
      </c>
      <c r="N52" s="1"/>
      <c r="O52" s="1"/>
      <c r="P52" s="1"/>
    </row>
    <row r="53" spans="1:16" ht="14.45" customHeight="1" x14ac:dyDescent="0.45">
      <c r="A53" s="1"/>
      <c r="B53" s="7"/>
      <c r="C53" s="20"/>
      <c r="D53" s="7"/>
      <c r="E53" s="11" t="str">
        <f>IF(tbl_Jobs[[#This Row],[Customer_ID]]="","",_xlfn.XLOOKUP(tbl_Jobs[[#This Row],[Customer_ID]],tbl_Customers[Customer_ID],tbl_Customers[Customer_Name],"Not matched"))</f>
        <v/>
      </c>
      <c r="F53" s="11" t="str">
        <f>IF(tbl_Jobs[[#This Row],[Customer_ID]]="","",_xlfn.XLOOKUP(tbl_Jobs[[#This Row],[Customer_ID]],tbl_Customers[Customer_ID],tbl_Customers[Service_Address],"Not matched"))</f>
        <v/>
      </c>
      <c r="G53" s="11" t="str">
        <f>IF(tbl_Jobs[[#This Row],[Customer_ID]]="","",_xlfn.XLOOKUP(tbl_Jobs[[#This Row],[Customer_ID]],tbl_Customers[Customer_ID],tbl_Customers[Default_Service],"Not matched"))</f>
        <v/>
      </c>
      <c r="H53" s="11" t="str">
        <f>IF(tbl_Jobs[[#This Row],[Customer_ID]]="","",_xlfn.XLOOKUP(tbl_Jobs[[#This Row],[Customer_ID]],tbl_Customers[Customer_ID],tbl_Customers[Special_Notes],""))</f>
        <v/>
      </c>
      <c r="I53" s="7"/>
      <c r="J53" s="7"/>
      <c r="K53" s="10"/>
      <c r="L53" s="7"/>
      <c r="M53" s="8" t="str">
        <f>IF(tbl_Jobs[[#This Row],[Customer_ID]]="","",_xlfn.XLOOKUP(tbl_Jobs[[#This Row],[Customer_ID]],tbl_Customers[Customer_ID],tbl_Customers[Standard_Rate],0))</f>
        <v/>
      </c>
      <c r="N53" s="1"/>
      <c r="O53" s="1"/>
      <c r="P53" s="1"/>
    </row>
    <row r="54" spans="1:16" ht="14.45" customHeight="1" x14ac:dyDescent="0.45">
      <c r="A54" s="1"/>
      <c r="B54" s="7"/>
      <c r="C54" s="20"/>
      <c r="D54" s="7"/>
      <c r="E54" s="9" t="str">
        <f>IF(tbl_Jobs[[#This Row],[Customer_ID]]="","",_xlfn.XLOOKUP(tbl_Jobs[[#This Row],[Customer_ID]],tbl_Customers[Customer_ID],tbl_Customers[Customer_Name],"Not matched"))</f>
        <v/>
      </c>
      <c r="F54" s="9" t="str">
        <f>IF(tbl_Jobs[[#This Row],[Customer_ID]]="","",_xlfn.XLOOKUP(tbl_Jobs[[#This Row],[Customer_ID]],tbl_Customers[Customer_ID],tbl_Customers[Service_Address],"Not matched"))</f>
        <v/>
      </c>
      <c r="G54" s="9" t="str">
        <f>IF(tbl_Jobs[[#This Row],[Customer_ID]]="","",_xlfn.XLOOKUP(tbl_Jobs[[#This Row],[Customer_ID]],tbl_Customers[Customer_ID],tbl_Customers[Default_Service],"Not matched"))</f>
        <v/>
      </c>
      <c r="H54" s="9" t="str">
        <f>IF(tbl_Jobs[[#This Row],[Customer_ID]]="","",_xlfn.XLOOKUP(tbl_Jobs[[#This Row],[Customer_ID]],tbl_Customers[Customer_ID],tbl_Customers[Special_Notes],""))</f>
        <v/>
      </c>
      <c r="I54" s="7"/>
      <c r="J54" s="7"/>
      <c r="K54" s="10"/>
      <c r="L54" s="7"/>
      <c r="M54" s="8" t="str">
        <f>IF(tbl_Jobs[[#This Row],[Customer_ID]]="","",_xlfn.XLOOKUP(tbl_Jobs[[#This Row],[Customer_ID]],tbl_Customers[Customer_ID],tbl_Customers[Standard_Rate],0))</f>
        <v/>
      </c>
      <c r="N54" s="1"/>
      <c r="O54" s="1"/>
      <c r="P54" s="1"/>
    </row>
    <row r="55" spans="1:16" ht="14.45" customHeight="1" x14ac:dyDescent="0.45">
      <c r="A55" s="1"/>
      <c r="B55" s="7"/>
      <c r="C55" s="20"/>
      <c r="D55" s="7"/>
      <c r="E55" s="11" t="str">
        <f>IF(tbl_Jobs[[#This Row],[Customer_ID]]="","",_xlfn.XLOOKUP(tbl_Jobs[[#This Row],[Customer_ID]],tbl_Customers[Customer_ID],tbl_Customers[Customer_Name],"Not matched"))</f>
        <v/>
      </c>
      <c r="F55" s="11" t="str">
        <f>IF(tbl_Jobs[[#This Row],[Customer_ID]]="","",_xlfn.XLOOKUP(tbl_Jobs[[#This Row],[Customer_ID]],tbl_Customers[Customer_ID],tbl_Customers[Service_Address],"Not matched"))</f>
        <v/>
      </c>
      <c r="G55" s="11" t="str">
        <f>IF(tbl_Jobs[[#This Row],[Customer_ID]]="","",_xlfn.XLOOKUP(tbl_Jobs[[#This Row],[Customer_ID]],tbl_Customers[Customer_ID],tbl_Customers[Default_Service],"Not matched"))</f>
        <v/>
      </c>
      <c r="H55" s="11" t="str">
        <f>IF(tbl_Jobs[[#This Row],[Customer_ID]]="","",_xlfn.XLOOKUP(tbl_Jobs[[#This Row],[Customer_ID]],tbl_Customers[Customer_ID],tbl_Customers[Special_Notes],""))</f>
        <v/>
      </c>
      <c r="I55" s="7"/>
      <c r="J55" s="7"/>
      <c r="K55" s="10"/>
      <c r="L55" s="7"/>
      <c r="M55" s="8" t="str">
        <f>IF(tbl_Jobs[[#This Row],[Customer_ID]]="","",_xlfn.XLOOKUP(tbl_Jobs[[#This Row],[Customer_ID]],tbl_Customers[Customer_ID],tbl_Customers[Standard_Rate],0))</f>
        <v/>
      </c>
      <c r="N55" s="1"/>
      <c r="O55" s="1"/>
      <c r="P55" s="1"/>
    </row>
    <row r="56" spans="1:16" ht="14.45" customHeight="1" x14ac:dyDescent="0.45">
      <c r="A56" s="1"/>
      <c r="B56" s="7"/>
      <c r="C56" s="20"/>
      <c r="D56" s="7"/>
      <c r="E56" s="9" t="str">
        <f>IF(tbl_Jobs[[#This Row],[Customer_ID]]="","",_xlfn.XLOOKUP(tbl_Jobs[[#This Row],[Customer_ID]],tbl_Customers[Customer_ID],tbl_Customers[Customer_Name],"Not matched"))</f>
        <v/>
      </c>
      <c r="F56" s="9" t="str">
        <f>IF(tbl_Jobs[[#This Row],[Customer_ID]]="","",_xlfn.XLOOKUP(tbl_Jobs[[#This Row],[Customer_ID]],tbl_Customers[Customer_ID],tbl_Customers[Service_Address],"Not matched"))</f>
        <v/>
      </c>
      <c r="G56" s="9" t="str">
        <f>IF(tbl_Jobs[[#This Row],[Customer_ID]]="","",_xlfn.XLOOKUP(tbl_Jobs[[#This Row],[Customer_ID]],tbl_Customers[Customer_ID],tbl_Customers[Default_Service],"Not matched"))</f>
        <v/>
      </c>
      <c r="H56" s="9" t="str">
        <f>IF(tbl_Jobs[[#This Row],[Customer_ID]]="","",_xlfn.XLOOKUP(tbl_Jobs[[#This Row],[Customer_ID]],tbl_Customers[Customer_ID],tbl_Customers[Special_Notes],""))</f>
        <v/>
      </c>
      <c r="I56" s="7"/>
      <c r="J56" s="7"/>
      <c r="K56" s="10"/>
      <c r="L56" s="7"/>
      <c r="M56" s="8" t="str">
        <f>IF(tbl_Jobs[[#This Row],[Customer_ID]]="","",_xlfn.XLOOKUP(tbl_Jobs[[#This Row],[Customer_ID]],tbl_Customers[Customer_ID],tbl_Customers[Standard_Rate],0))</f>
        <v/>
      </c>
      <c r="N56" s="1"/>
      <c r="O56" s="1"/>
      <c r="P56" s="1"/>
    </row>
    <row r="57" spans="1:16" ht="14.45" customHeight="1" x14ac:dyDescent="0.45">
      <c r="A57" s="1"/>
      <c r="B57" s="7"/>
      <c r="C57" s="20"/>
      <c r="D57" s="7"/>
      <c r="E57" s="11" t="str">
        <f>IF(tbl_Jobs[[#This Row],[Customer_ID]]="","",_xlfn.XLOOKUP(tbl_Jobs[[#This Row],[Customer_ID]],tbl_Customers[Customer_ID],tbl_Customers[Customer_Name],"Not matched"))</f>
        <v/>
      </c>
      <c r="F57" s="11" t="str">
        <f>IF(tbl_Jobs[[#This Row],[Customer_ID]]="","",_xlfn.XLOOKUP(tbl_Jobs[[#This Row],[Customer_ID]],tbl_Customers[Customer_ID],tbl_Customers[Service_Address],"Not matched"))</f>
        <v/>
      </c>
      <c r="G57" s="11" t="str">
        <f>IF(tbl_Jobs[[#This Row],[Customer_ID]]="","",_xlfn.XLOOKUP(tbl_Jobs[[#This Row],[Customer_ID]],tbl_Customers[Customer_ID],tbl_Customers[Default_Service],"Not matched"))</f>
        <v/>
      </c>
      <c r="H57" s="11" t="str">
        <f>IF(tbl_Jobs[[#This Row],[Customer_ID]]="","",_xlfn.XLOOKUP(tbl_Jobs[[#This Row],[Customer_ID]],tbl_Customers[Customer_ID],tbl_Customers[Special_Notes],""))</f>
        <v/>
      </c>
      <c r="I57" s="7"/>
      <c r="J57" s="7"/>
      <c r="K57" s="10"/>
      <c r="L57" s="7"/>
      <c r="M57" s="8" t="str">
        <f>IF(tbl_Jobs[[#This Row],[Customer_ID]]="","",_xlfn.XLOOKUP(tbl_Jobs[[#This Row],[Customer_ID]],tbl_Customers[Customer_ID],tbl_Customers[Standard_Rate],0))</f>
        <v/>
      </c>
      <c r="N57" s="1"/>
      <c r="O57" s="1"/>
      <c r="P57" s="1"/>
    </row>
    <row r="58" spans="1:16" ht="14.45" customHeight="1" x14ac:dyDescent="0.45">
      <c r="A58" s="1"/>
      <c r="B58" s="7"/>
      <c r="C58" s="20"/>
      <c r="D58" s="7"/>
      <c r="E58" s="9" t="str">
        <f>IF(tbl_Jobs[[#This Row],[Customer_ID]]="","",_xlfn.XLOOKUP(tbl_Jobs[[#This Row],[Customer_ID]],tbl_Customers[Customer_ID],tbl_Customers[Customer_Name],"Not matched"))</f>
        <v/>
      </c>
      <c r="F58" s="9" t="str">
        <f>IF(tbl_Jobs[[#This Row],[Customer_ID]]="","",_xlfn.XLOOKUP(tbl_Jobs[[#This Row],[Customer_ID]],tbl_Customers[Customer_ID],tbl_Customers[Service_Address],"Not matched"))</f>
        <v/>
      </c>
      <c r="G58" s="9" t="str">
        <f>IF(tbl_Jobs[[#This Row],[Customer_ID]]="","",_xlfn.XLOOKUP(tbl_Jobs[[#This Row],[Customer_ID]],tbl_Customers[Customer_ID],tbl_Customers[Default_Service],"Not matched"))</f>
        <v/>
      </c>
      <c r="H58" s="9" t="str">
        <f>IF(tbl_Jobs[[#This Row],[Customer_ID]]="","",_xlfn.XLOOKUP(tbl_Jobs[[#This Row],[Customer_ID]],tbl_Customers[Customer_ID],tbl_Customers[Special_Notes],""))</f>
        <v/>
      </c>
      <c r="I58" s="7"/>
      <c r="J58" s="7"/>
      <c r="K58" s="10"/>
      <c r="L58" s="7"/>
      <c r="M58" s="8" t="str">
        <f>IF(tbl_Jobs[[#This Row],[Customer_ID]]="","",_xlfn.XLOOKUP(tbl_Jobs[[#This Row],[Customer_ID]],tbl_Customers[Customer_ID],tbl_Customers[Standard_Rate],0))</f>
        <v/>
      </c>
      <c r="N58" s="1"/>
      <c r="O58" s="1"/>
      <c r="P58" s="1"/>
    </row>
    <row r="59" spans="1:16" ht="14.45" customHeight="1" x14ac:dyDescent="0.45">
      <c r="A59" s="1"/>
      <c r="B59" s="7"/>
      <c r="C59" s="20"/>
      <c r="D59" s="7"/>
      <c r="E59" s="11" t="str">
        <f>IF(tbl_Jobs[[#This Row],[Customer_ID]]="","",_xlfn.XLOOKUP(tbl_Jobs[[#This Row],[Customer_ID]],tbl_Customers[Customer_ID],tbl_Customers[Customer_Name],"Not matched"))</f>
        <v/>
      </c>
      <c r="F59" s="11" t="str">
        <f>IF(tbl_Jobs[[#This Row],[Customer_ID]]="","",_xlfn.XLOOKUP(tbl_Jobs[[#This Row],[Customer_ID]],tbl_Customers[Customer_ID],tbl_Customers[Service_Address],"Not matched"))</f>
        <v/>
      </c>
      <c r="G59" s="11" t="str">
        <f>IF(tbl_Jobs[[#This Row],[Customer_ID]]="","",_xlfn.XLOOKUP(tbl_Jobs[[#This Row],[Customer_ID]],tbl_Customers[Customer_ID],tbl_Customers[Default_Service],"Not matched"))</f>
        <v/>
      </c>
      <c r="H59" s="11" t="str">
        <f>IF(tbl_Jobs[[#This Row],[Customer_ID]]="","",_xlfn.XLOOKUP(tbl_Jobs[[#This Row],[Customer_ID]],tbl_Customers[Customer_ID],tbl_Customers[Special_Notes],""))</f>
        <v/>
      </c>
      <c r="I59" s="7"/>
      <c r="J59" s="7"/>
      <c r="K59" s="10"/>
      <c r="L59" s="7"/>
      <c r="M59" s="8" t="str">
        <f>IF(tbl_Jobs[[#This Row],[Customer_ID]]="","",_xlfn.XLOOKUP(tbl_Jobs[[#This Row],[Customer_ID]],tbl_Customers[Customer_ID],tbl_Customers[Standard_Rate],0))</f>
        <v/>
      </c>
      <c r="N59" s="1"/>
      <c r="O59" s="1"/>
      <c r="P59" s="1"/>
    </row>
    <row r="60" spans="1:16" ht="14.45" customHeight="1" x14ac:dyDescent="0.45">
      <c r="A60" s="1"/>
      <c r="B60" s="7"/>
      <c r="C60" s="20"/>
      <c r="D60" s="7"/>
      <c r="E60" s="9" t="str">
        <f>IF(tbl_Jobs[[#This Row],[Customer_ID]]="","",_xlfn.XLOOKUP(tbl_Jobs[[#This Row],[Customer_ID]],tbl_Customers[Customer_ID],tbl_Customers[Customer_Name],"Not matched"))</f>
        <v/>
      </c>
      <c r="F60" s="9" t="str">
        <f>IF(tbl_Jobs[[#This Row],[Customer_ID]]="","",_xlfn.XLOOKUP(tbl_Jobs[[#This Row],[Customer_ID]],tbl_Customers[Customer_ID],tbl_Customers[Service_Address],"Not matched"))</f>
        <v/>
      </c>
      <c r="G60" s="9" t="str">
        <f>IF(tbl_Jobs[[#This Row],[Customer_ID]]="","",_xlfn.XLOOKUP(tbl_Jobs[[#This Row],[Customer_ID]],tbl_Customers[Customer_ID],tbl_Customers[Default_Service],"Not matched"))</f>
        <v/>
      </c>
      <c r="H60" s="9" t="str">
        <f>IF(tbl_Jobs[[#This Row],[Customer_ID]]="","",_xlfn.XLOOKUP(tbl_Jobs[[#This Row],[Customer_ID]],tbl_Customers[Customer_ID],tbl_Customers[Special_Notes],""))</f>
        <v/>
      </c>
      <c r="I60" s="7"/>
      <c r="J60" s="7"/>
      <c r="K60" s="10"/>
      <c r="L60" s="7"/>
      <c r="M60" s="8" t="str">
        <f>IF(tbl_Jobs[[#This Row],[Customer_ID]]="","",_xlfn.XLOOKUP(tbl_Jobs[[#This Row],[Customer_ID]],tbl_Customers[Customer_ID],tbl_Customers[Standard_Rate],0))</f>
        <v/>
      </c>
      <c r="N60" s="1"/>
      <c r="O60" s="1"/>
      <c r="P60" s="1"/>
    </row>
    <row r="61" spans="1:16" ht="14.45" customHeight="1" x14ac:dyDescent="0.45">
      <c r="A61" s="1"/>
      <c r="B61" s="7"/>
      <c r="C61" s="20"/>
      <c r="D61" s="7"/>
      <c r="E61" s="11" t="str">
        <f>IF(tbl_Jobs[[#This Row],[Customer_ID]]="","",_xlfn.XLOOKUP(tbl_Jobs[[#This Row],[Customer_ID]],tbl_Customers[Customer_ID],tbl_Customers[Customer_Name],"Not matched"))</f>
        <v/>
      </c>
      <c r="F61" s="11" t="str">
        <f>IF(tbl_Jobs[[#This Row],[Customer_ID]]="","",_xlfn.XLOOKUP(tbl_Jobs[[#This Row],[Customer_ID]],tbl_Customers[Customer_ID],tbl_Customers[Service_Address],"Not matched"))</f>
        <v/>
      </c>
      <c r="G61" s="11" t="str">
        <f>IF(tbl_Jobs[[#This Row],[Customer_ID]]="","",_xlfn.XLOOKUP(tbl_Jobs[[#This Row],[Customer_ID]],tbl_Customers[Customer_ID],tbl_Customers[Default_Service],"Not matched"))</f>
        <v/>
      </c>
      <c r="H61" s="11" t="str">
        <f>IF(tbl_Jobs[[#This Row],[Customer_ID]]="","",_xlfn.XLOOKUP(tbl_Jobs[[#This Row],[Customer_ID]],tbl_Customers[Customer_ID],tbl_Customers[Special_Notes],""))</f>
        <v/>
      </c>
      <c r="I61" s="7"/>
      <c r="J61" s="7"/>
      <c r="K61" s="10"/>
      <c r="L61" s="7"/>
      <c r="M61" s="8" t="str">
        <f>IF(tbl_Jobs[[#This Row],[Customer_ID]]="","",_xlfn.XLOOKUP(tbl_Jobs[[#This Row],[Customer_ID]],tbl_Customers[Customer_ID],tbl_Customers[Standard_Rate],0))</f>
        <v/>
      </c>
      <c r="N61" s="1"/>
      <c r="O61" s="1"/>
      <c r="P61" s="1"/>
    </row>
    <row r="62" spans="1:16" ht="14.45" customHeight="1" x14ac:dyDescent="0.45">
      <c r="A62" s="1"/>
      <c r="B62" s="7"/>
      <c r="C62" s="20"/>
      <c r="D62" s="7"/>
      <c r="E62" s="9" t="str">
        <f>IF(tbl_Jobs[[#This Row],[Customer_ID]]="","",_xlfn.XLOOKUP(tbl_Jobs[[#This Row],[Customer_ID]],tbl_Customers[Customer_ID],tbl_Customers[Customer_Name],"Not matched"))</f>
        <v/>
      </c>
      <c r="F62" s="9" t="str">
        <f>IF(tbl_Jobs[[#This Row],[Customer_ID]]="","",_xlfn.XLOOKUP(tbl_Jobs[[#This Row],[Customer_ID]],tbl_Customers[Customer_ID],tbl_Customers[Service_Address],"Not matched"))</f>
        <v/>
      </c>
      <c r="G62" s="9" t="str">
        <f>IF(tbl_Jobs[[#This Row],[Customer_ID]]="","",_xlfn.XLOOKUP(tbl_Jobs[[#This Row],[Customer_ID]],tbl_Customers[Customer_ID],tbl_Customers[Default_Service],"Not matched"))</f>
        <v/>
      </c>
      <c r="H62" s="9" t="str">
        <f>IF(tbl_Jobs[[#This Row],[Customer_ID]]="","",_xlfn.XLOOKUP(tbl_Jobs[[#This Row],[Customer_ID]],tbl_Customers[Customer_ID],tbl_Customers[Special_Notes],""))</f>
        <v/>
      </c>
      <c r="I62" s="7"/>
      <c r="J62" s="7"/>
      <c r="K62" s="10"/>
      <c r="L62" s="7"/>
      <c r="M62" s="8" t="str">
        <f>IF(tbl_Jobs[[#This Row],[Customer_ID]]="","",_xlfn.XLOOKUP(tbl_Jobs[[#This Row],[Customer_ID]],tbl_Customers[Customer_ID],tbl_Customers[Standard_Rate],0))</f>
        <v/>
      </c>
      <c r="N62" s="1"/>
      <c r="O62" s="1"/>
      <c r="P62" s="1"/>
    </row>
    <row r="63" spans="1:16" ht="14.45" customHeight="1" x14ac:dyDescent="0.45">
      <c r="A63" s="1"/>
      <c r="B63" s="7"/>
      <c r="C63" s="20"/>
      <c r="D63" s="7"/>
      <c r="E63" s="11" t="str">
        <f>IF(tbl_Jobs[[#This Row],[Customer_ID]]="","",_xlfn.XLOOKUP(tbl_Jobs[[#This Row],[Customer_ID]],tbl_Customers[Customer_ID],tbl_Customers[Customer_Name],"Not matched"))</f>
        <v/>
      </c>
      <c r="F63" s="11" t="str">
        <f>IF(tbl_Jobs[[#This Row],[Customer_ID]]="","",_xlfn.XLOOKUP(tbl_Jobs[[#This Row],[Customer_ID]],tbl_Customers[Customer_ID],tbl_Customers[Service_Address],"Not matched"))</f>
        <v/>
      </c>
      <c r="G63" s="11" t="str">
        <f>IF(tbl_Jobs[[#This Row],[Customer_ID]]="","",_xlfn.XLOOKUP(tbl_Jobs[[#This Row],[Customer_ID]],tbl_Customers[Customer_ID],tbl_Customers[Default_Service],"Not matched"))</f>
        <v/>
      </c>
      <c r="H63" s="11" t="str">
        <f>IF(tbl_Jobs[[#This Row],[Customer_ID]]="","",_xlfn.XLOOKUP(tbl_Jobs[[#This Row],[Customer_ID]],tbl_Customers[Customer_ID],tbl_Customers[Special_Notes],""))</f>
        <v/>
      </c>
      <c r="I63" s="7"/>
      <c r="J63" s="7"/>
      <c r="K63" s="10"/>
      <c r="L63" s="7"/>
      <c r="M63" s="8" t="str">
        <f>IF(tbl_Jobs[[#This Row],[Customer_ID]]="","",_xlfn.XLOOKUP(tbl_Jobs[[#This Row],[Customer_ID]],tbl_Customers[Customer_ID],tbl_Customers[Standard_Rate],0))</f>
        <v/>
      </c>
      <c r="N63" s="1"/>
      <c r="O63" s="1"/>
      <c r="P63" s="1"/>
    </row>
    <row r="64" spans="1:16" ht="14.45" customHeight="1" x14ac:dyDescent="0.45">
      <c r="A64" s="1"/>
      <c r="B64" s="7"/>
      <c r="C64" s="20"/>
      <c r="D64" s="7"/>
      <c r="E64" s="9" t="str">
        <f>IF(tbl_Jobs[[#This Row],[Customer_ID]]="","",_xlfn.XLOOKUP(tbl_Jobs[[#This Row],[Customer_ID]],tbl_Customers[Customer_ID],tbl_Customers[Customer_Name],"Not matched"))</f>
        <v/>
      </c>
      <c r="F64" s="9" t="str">
        <f>IF(tbl_Jobs[[#This Row],[Customer_ID]]="","",_xlfn.XLOOKUP(tbl_Jobs[[#This Row],[Customer_ID]],tbl_Customers[Customer_ID],tbl_Customers[Service_Address],"Not matched"))</f>
        <v/>
      </c>
      <c r="G64" s="9" t="str">
        <f>IF(tbl_Jobs[[#This Row],[Customer_ID]]="","",_xlfn.XLOOKUP(tbl_Jobs[[#This Row],[Customer_ID]],tbl_Customers[Customer_ID],tbl_Customers[Default_Service],"Not matched"))</f>
        <v/>
      </c>
      <c r="H64" s="9" t="str">
        <f>IF(tbl_Jobs[[#This Row],[Customer_ID]]="","",_xlfn.XLOOKUP(tbl_Jobs[[#This Row],[Customer_ID]],tbl_Customers[Customer_ID],tbl_Customers[Special_Notes],""))</f>
        <v/>
      </c>
      <c r="I64" s="7"/>
      <c r="J64" s="7"/>
      <c r="K64" s="10"/>
      <c r="L64" s="7"/>
      <c r="M64" s="8" t="str">
        <f>IF(tbl_Jobs[[#This Row],[Customer_ID]]="","",_xlfn.XLOOKUP(tbl_Jobs[[#This Row],[Customer_ID]],tbl_Customers[Customer_ID],tbl_Customers[Standard_Rate],0))</f>
        <v/>
      </c>
      <c r="N64" s="1"/>
      <c r="O64" s="1"/>
      <c r="P64" s="1"/>
    </row>
    <row r="65" spans="1:16" ht="14.45" customHeight="1" x14ac:dyDescent="0.45">
      <c r="A65" s="1"/>
      <c r="B65" s="7"/>
      <c r="C65" s="20"/>
      <c r="D65" s="7"/>
      <c r="E65" s="11" t="str">
        <f>IF(tbl_Jobs[[#This Row],[Customer_ID]]="","",_xlfn.XLOOKUP(tbl_Jobs[[#This Row],[Customer_ID]],tbl_Customers[Customer_ID],tbl_Customers[Customer_Name],"Not matched"))</f>
        <v/>
      </c>
      <c r="F65" s="11" t="str">
        <f>IF(tbl_Jobs[[#This Row],[Customer_ID]]="","",_xlfn.XLOOKUP(tbl_Jobs[[#This Row],[Customer_ID]],tbl_Customers[Customer_ID],tbl_Customers[Service_Address],"Not matched"))</f>
        <v/>
      </c>
      <c r="G65" s="11" t="str">
        <f>IF(tbl_Jobs[[#This Row],[Customer_ID]]="","",_xlfn.XLOOKUP(tbl_Jobs[[#This Row],[Customer_ID]],tbl_Customers[Customer_ID],tbl_Customers[Default_Service],"Not matched"))</f>
        <v/>
      </c>
      <c r="H65" s="11" t="str">
        <f>IF(tbl_Jobs[[#This Row],[Customer_ID]]="","",_xlfn.XLOOKUP(tbl_Jobs[[#This Row],[Customer_ID]],tbl_Customers[Customer_ID],tbl_Customers[Special_Notes],""))</f>
        <v/>
      </c>
      <c r="I65" s="7"/>
      <c r="J65" s="7"/>
      <c r="K65" s="10"/>
      <c r="L65" s="7"/>
      <c r="M65" s="8" t="str">
        <f>IF(tbl_Jobs[[#This Row],[Customer_ID]]="","",_xlfn.XLOOKUP(tbl_Jobs[[#This Row],[Customer_ID]],tbl_Customers[Customer_ID],tbl_Customers[Standard_Rate],0))</f>
        <v/>
      </c>
      <c r="N65" s="1"/>
      <c r="O65" s="1"/>
      <c r="P65" s="1"/>
    </row>
    <row r="66" spans="1:16" ht="14.45" customHeight="1" x14ac:dyDescent="0.45">
      <c r="A66" s="1"/>
      <c r="B66" s="7"/>
      <c r="C66" s="20"/>
      <c r="D66" s="7"/>
      <c r="E66" s="9" t="str">
        <f>IF(tbl_Jobs[[#This Row],[Customer_ID]]="","",_xlfn.XLOOKUP(tbl_Jobs[[#This Row],[Customer_ID]],tbl_Customers[Customer_ID],tbl_Customers[Customer_Name],"Not matched"))</f>
        <v/>
      </c>
      <c r="F66" s="9" t="str">
        <f>IF(tbl_Jobs[[#This Row],[Customer_ID]]="","",_xlfn.XLOOKUP(tbl_Jobs[[#This Row],[Customer_ID]],tbl_Customers[Customer_ID],tbl_Customers[Service_Address],"Not matched"))</f>
        <v/>
      </c>
      <c r="G66" s="9" t="str">
        <f>IF(tbl_Jobs[[#This Row],[Customer_ID]]="","",_xlfn.XLOOKUP(tbl_Jobs[[#This Row],[Customer_ID]],tbl_Customers[Customer_ID],tbl_Customers[Default_Service],"Not matched"))</f>
        <v/>
      </c>
      <c r="H66" s="9" t="str">
        <f>IF(tbl_Jobs[[#This Row],[Customer_ID]]="","",_xlfn.XLOOKUP(tbl_Jobs[[#This Row],[Customer_ID]],tbl_Customers[Customer_ID],tbl_Customers[Special_Notes],""))</f>
        <v/>
      </c>
      <c r="I66" s="7"/>
      <c r="J66" s="7"/>
      <c r="K66" s="10"/>
      <c r="L66" s="7"/>
      <c r="M66" s="8" t="str">
        <f>IF(tbl_Jobs[[#This Row],[Customer_ID]]="","",_xlfn.XLOOKUP(tbl_Jobs[[#This Row],[Customer_ID]],tbl_Customers[Customer_ID],tbl_Customers[Standard_Rate],0))</f>
        <v/>
      </c>
      <c r="N66" s="1"/>
      <c r="O66" s="1"/>
      <c r="P66" s="1"/>
    </row>
    <row r="67" spans="1:16" ht="14.45" customHeight="1" x14ac:dyDescent="0.45">
      <c r="A67" s="1"/>
      <c r="B67" s="7"/>
      <c r="C67" s="20"/>
      <c r="D67" s="7"/>
      <c r="E67" s="11" t="str">
        <f>IF(tbl_Jobs[[#This Row],[Customer_ID]]="","",_xlfn.XLOOKUP(tbl_Jobs[[#This Row],[Customer_ID]],tbl_Customers[Customer_ID],tbl_Customers[Customer_Name],"Not matched"))</f>
        <v/>
      </c>
      <c r="F67" s="11" t="str">
        <f>IF(tbl_Jobs[[#This Row],[Customer_ID]]="","",_xlfn.XLOOKUP(tbl_Jobs[[#This Row],[Customer_ID]],tbl_Customers[Customer_ID],tbl_Customers[Service_Address],"Not matched"))</f>
        <v/>
      </c>
      <c r="G67" s="11" t="str">
        <f>IF(tbl_Jobs[[#This Row],[Customer_ID]]="","",_xlfn.XLOOKUP(tbl_Jobs[[#This Row],[Customer_ID]],tbl_Customers[Customer_ID],tbl_Customers[Default_Service],"Not matched"))</f>
        <v/>
      </c>
      <c r="H67" s="11" t="str">
        <f>IF(tbl_Jobs[[#This Row],[Customer_ID]]="","",_xlfn.XLOOKUP(tbl_Jobs[[#This Row],[Customer_ID]],tbl_Customers[Customer_ID],tbl_Customers[Special_Notes],""))</f>
        <v/>
      </c>
      <c r="I67" s="7"/>
      <c r="J67" s="7"/>
      <c r="K67" s="10"/>
      <c r="L67" s="7"/>
      <c r="M67" s="8" t="str">
        <f>IF(tbl_Jobs[[#This Row],[Customer_ID]]="","",_xlfn.XLOOKUP(tbl_Jobs[[#This Row],[Customer_ID]],tbl_Customers[Customer_ID],tbl_Customers[Standard_Rate],0))</f>
        <v/>
      </c>
      <c r="N67" s="1"/>
      <c r="O67" s="1"/>
      <c r="P67" s="1"/>
    </row>
    <row r="68" spans="1:16" ht="14.45" customHeight="1" x14ac:dyDescent="0.45">
      <c r="A68" s="1"/>
      <c r="B68" s="7"/>
      <c r="C68" s="20"/>
      <c r="D68" s="7"/>
      <c r="E68" s="9" t="str">
        <f>IF(tbl_Jobs[[#This Row],[Customer_ID]]="","",_xlfn.XLOOKUP(tbl_Jobs[[#This Row],[Customer_ID]],tbl_Customers[Customer_ID],tbl_Customers[Customer_Name],"Not matched"))</f>
        <v/>
      </c>
      <c r="F68" s="9" t="str">
        <f>IF(tbl_Jobs[[#This Row],[Customer_ID]]="","",_xlfn.XLOOKUP(tbl_Jobs[[#This Row],[Customer_ID]],tbl_Customers[Customer_ID],tbl_Customers[Service_Address],"Not matched"))</f>
        <v/>
      </c>
      <c r="G68" s="9" t="str">
        <f>IF(tbl_Jobs[[#This Row],[Customer_ID]]="","",_xlfn.XLOOKUP(tbl_Jobs[[#This Row],[Customer_ID]],tbl_Customers[Customer_ID],tbl_Customers[Default_Service],"Not matched"))</f>
        <v/>
      </c>
      <c r="H68" s="9" t="str">
        <f>IF(tbl_Jobs[[#This Row],[Customer_ID]]="","",_xlfn.XLOOKUP(tbl_Jobs[[#This Row],[Customer_ID]],tbl_Customers[Customer_ID],tbl_Customers[Special_Notes],""))</f>
        <v/>
      </c>
      <c r="I68" s="7"/>
      <c r="J68" s="7"/>
      <c r="K68" s="10"/>
      <c r="L68" s="7"/>
      <c r="M68" s="8" t="str">
        <f>IF(tbl_Jobs[[#This Row],[Customer_ID]]="","",_xlfn.XLOOKUP(tbl_Jobs[[#This Row],[Customer_ID]],tbl_Customers[Customer_ID],tbl_Customers[Standard_Rate],0))</f>
        <v/>
      </c>
      <c r="N68" s="1"/>
      <c r="O68" s="1"/>
      <c r="P68" s="1"/>
    </row>
    <row r="69" spans="1:16" ht="14.45" customHeight="1" x14ac:dyDescent="0.45">
      <c r="A69" s="1"/>
      <c r="B69" s="7"/>
      <c r="C69" s="20"/>
      <c r="D69" s="7"/>
      <c r="E69" s="11" t="str">
        <f>IF(tbl_Jobs[[#This Row],[Customer_ID]]="","",_xlfn.XLOOKUP(tbl_Jobs[[#This Row],[Customer_ID]],tbl_Customers[Customer_ID],tbl_Customers[Customer_Name],"Not matched"))</f>
        <v/>
      </c>
      <c r="F69" s="11" t="str">
        <f>IF(tbl_Jobs[[#This Row],[Customer_ID]]="","",_xlfn.XLOOKUP(tbl_Jobs[[#This Row],[Customer_ID]],tbl_Customers[Customer_ID],tbl_Customers[Service_Address],"Not matched"))</f>
        <v/>
      </c>
      <c r="G69" s="11" t="str">
        <f>IF(tbl_Jobs[[#This Row],[Customer_ID]]="","",_xlfn.XLOOKUP(tbl_Jobs[[#This Row],[Customer_ID]],tbl_Customers[Customer_ID],tbl_Customers[Default_Service],"Not matched"))</f>
        <v/>
      </c>
      <c r="H69" s="11" t="str">
        <f>IF(tbl_Jobs[[#This Row],[Customer_ID]]="","",_xlfn.XLOOKUP(tbl_Jobs[[#This Row],[Customer_ID]],tbl_Customers[Customer_ID],tbl_Customers[Special_Notes],""))</f>
        <v/>
      </c>
      <c r="I69" s="7"/>
      <c r="J69" s="7"/>
      <c r="K69" s="10"/>
      <c r="L69" s="7"/>
      <c r="M69" s="8" t="str">
        <f>IF(tbl_Jobs[[#This Row],[Customer_ID]]="","",_xlfn.XLOOKUP(tbl_Jobs[[#This Row],[Customer_ID]],tbl_Customers[Customer_ID],tbl_Customers[Standard_Rate],0))</f>
        <v/>
      </c>
      <c r="N69" s="1"/>
      <c r="O69" s="1"/>
      <c r="P69" s="1"/>
    </row>
    <row r="70" spans="1:16" ht="14.45" customHeight="1" x14ac:dyDescent="0.45">
      <c r="A70" s="1"/>
      <c r="B70" s="7"/>
      <c r="C70" s="20"/>
      <c r="D70" s="7"/>
      <c r="E70" s="9" t="str">
        <f>IF(tbl_Jobs[[#This Row],[Customer_ID]]="","",_xlfn.XLOOKUP(tbl_Jobs[[#This Row],[Customer_ID]],tbl_Customers[Customer_ID],tbl_Customers[Customer_Name],"Not matched"))</f>
        <v/>
      </c>
      <c r="F70" s="9" t="str">
        <f>IF(tbl_Jobs[[#This Row],[Customer_ID]]="","",_xlfn.XLOOKUP(tbl_Jobs[[#This Row],[Customer_ID]],tbl_Customers[Customer_ID],tbl_Customers[Service_Address],"Not matched"))</f>
        <v/>
      </c>
      <c r="G70" s="9" t="str">
        <f>IF(tbl_Jobs[[#This Row],[Customer_ID]]="","",_xlfn.XLOOKUP(tbl_Jobs[[#This Row],[Customer_ID]],tbl_Customers[Customer_ID],tbl_Customers[Default_Service],"Not matched"))</f>
        <v/>
      </c>
      <c r="H70" s="9" t="str">
        <f>IF(tbl_Jobs[[#This Row],[Customer_ID]]="","",_xlfn.XLOOKUP(tbl_Jobs[[#This Row],[Customer_ID]],tbl_Customers[Customer_ID],tbl_Customers[Special_Notes],""))</f>
        <v/>
      </c>
      <c r="I70" s="7"/>
      <c r="J70" s="7"/>
      <c r="K70" s="10"/>
      <c r="L70" s="7"/>
      <c r="M70" s="8" t="str">
        <f>IF(tbl_Jobs[[#This Row],[Customer_ID]]="","",_xlfn.XLOOKUP(tbl_Jobs[[#This Row],[Customer_ID]],tbl_Customers[Customer_ID],tbl_Customers[Standard_Rate],0))</f>
        <v/>
      </c>
      <c r="N70" s="1"/>
      <c r="O70" s="1"/>
      <c r="P70" s="1"/>
    </row>
    <row r="71" spans="1:16" ht="14.45" customHeight="1" x14ac:dyDescent="0.45">
      <c r="A71" s="1"/>
      <c r="B71" s="7"/>
      <c r="C71" s="20"/>
      <c r="D71" s="7"/>
      <c r="E71" s="11" t="str">
        <f>IF(tbl_Jobs[[#This Row],[Customer_ID]]="","",_xlfn.XLOOKUP(tbl_Jobs[[#This Row],[Customer_ID]],tbl_Customers[Customer_ID],tbl_Customers[Customer_Name],"Not matched"))</f>
        <v/>
      </c>
      <c r="F71" s="11" t="str">
        <f>IF(tbl_Jobs[[#This Row],[Customer_ID]]="","",_xlfn.XLOOKUP(tbl_Jobs[[#This Row],[Customer_ID]],tbl_Customers[Customer_ID],tbl_Customers[Service_Address],"Not matched"))</f>
        <v/>
      </c>
      <c r="G71" s="11" t="str">
        <f>IF(tbl_Jobs[[#This Row],[Customer_ID]]="","",_xlfn.XLOOKUP(tbl_Jobs[[#This Row],[Customer_ID]],tbl_Customers[Customer_ID],tbl_Customers[Default_Service],"Not matched"))</f>
        <v/>
      </c>
      <c r="H71" s="11" t="str">
        <f>IF(tbl_Jobs[[#This Row],[Customer_ID]]="","",_xlfn.XLOOKUP(tbl_Jobs[[#This Row],[Customer_ID]],tbl_Customers[Customer_ID],tbl_Customers[Special_Notes],""))</f>
        <v/>
      </c>
      <c r="I71" s="7"/>
      <c r="J71" s="7"/>
      <c r="K71" s="10"/>
      <c r="L71" s="7"/>
      <c r="M71" s="8" t="str">
        <f>IF(tbl_Jobs[[#This Row],[Customer_ID]]="","",_xlfn.XLOOKUP(tbl_Jobs[[#This Row],[Customer_ID]],tbl_Customers[Customer_ID],tbl_Customers[Standard_Rate],0))</f>
        <v/>
      </c>
      <c r="N71" s="1"/>
      <c r="O71" s="1"/>
      <c r="P71" s="1"/>
    </row>
    <row r="72" spans="1:16" ht="14.45" customHeight="1" x14ac:dyDescent="0.45">
      <c r="A72" s="1"/>
      <c r="B72" s="7"/>
      <c r="C72" s="20"/>
      <c r="D72" s="7"/>
      <c r="E72" s="9" t="str">
        <f>IF(tbl_Jobs[[#This Row],[Customer_ID]]="","",_xlfn.XLOOKUP(tbl_Jobs[[#This Row],[Customer_ID]],tbl_Customers[Customer_ID],tbl_Customers[Customer_Name],"Not matched"))</f>
        <v/>
      </c>
      <c r="F72" s="9" t="str">
        <f>IF(tbl_Jobs[[#This Row],[Customer_ID]]="","",_xlfn.XLOOKUP(tbl_Jobs[[#This Row],[Customer_ID]],tbl_Customers[Customer_ID],tbl_Customers[Service_Address],"Not matched"))</f>
        <v/>
      </c>
      <c r="G72" s="9" t="str">
        <f>IF(tbl_Jobs[[#This Row],[Customer_ID]]="","",_xlfn.XLOOKUP(tbl_Jobs[[#This Row],[Customer_ID]],tbl_Customers[Customer_ID],tbl_Customers[Default_Service],"Not matched"))</f>
        <v/>
      </c>
      <c r="H72" s="9" t="str">
        <f>IF(tbl_Jobs[[#This Row],[Customer_ID]]="","",_xlfn.XLOOKUP(tbl_Jobs[[#This Row],[Customer_ID]],tbl_Customers[Customer_ID],tbl_Customers[Special_Notes],""))</f>
        <v/>
      </c>
      <c r="I72" s="7"/>
      <c r="J72" s="7"/>
      <c r="K72" s="10"/>
      <c r="L72" s="7"/>
      <c r="M72" s="8" t="str">
        <f>IF(tbl_Jobs[[#This Row],[Customer_ID]]="","",_xlfn.XLOOKUP(tbl_Jobs[[#This Row],[Customer_ID]],tbl_Customers[Customer_ID],tbl_Customers[Standard_Rate],0))</f>
        <v/>
      </c>
      <c r="N72" s="1"/>
      <c r="O72" s="1"/>
      <c r="P72" s="1"/>
    </row>
    <row r="73" spans="1:16" ht="14.45" customHeight="1" x14ac:dyDescent="0.45">
      <c r="A73" s="1"/>
      <c r="B73" s="7"/>
      <c r="C73" s="20"/>
      <c r="D73" s="7"/>
      <c r="E73" s="11" t="str">
        <f>IF(tbl_Jobs[[#This Row],[Customer_ID]]="","",_xlfn.XLOOKUP(tbl_Jobs[[#This Row],[Customer_ID]],tbl_Customers[Customer_ID],tbl_Customers[Customer_Name],"Not matched"))</f>
        <v/>
      </c>
      <c r="F73" s="11" t="str">
        <f>IF(tbl_Jobs[[#This Row],[Customer_ID]]="","",_xlfn.XLOOKUP(tbl_Jobs[[#This Row],[Customer_ID]],tbl_Customers[Customer_ID],tbl_Customers[Service_Address],"Not matched"))</f>
        <v/>
      </c>
      <c r="G73" s="11" t="str">
        <f>IF(tbl_Jobs[[#This Row],[Customer_ID]]="","",_xlfn.XLOOKUP(tbl_Jobs[[#This Row],[Customer_ID]],tbl_Customers[Customer_ID],tbl_Customers[Default_Service],"Not matched"))</f>
        <v/>
      </c>
      <c r="H73" s="11" t="str">
        <f>IF(tbl_Jobs[[#This Row],[Customer_ID]]="","",_xlfn.XLOOKUP(tbl_Jobs[[#This Row],[Customer_ID]],tbl_Customers[Customer_ID],tbl_Customers[Special_Notes],""))</f>
        <v/>
      </c>
      <c r="I73" s="7"/>
      <c r="J73" s="7"/>
      <c r="K73" s="10"/>
      <c r="L73" s="7"/>
      <c r="M73" s="8" t="str">
        <f>IF(tbl_Jobs[[#This Row],[Customer_ID]]="","",_xlfn.XLOOKUP(tbl_Jobs[[#This Row],[Customer_ID]],tbl_Customers[Customer_ID],tbl_Customers[Standard_Rate],0))</f>
        <v/>
      </c>
      <c r="N73" s="1"/>
      <c r="O73" s="1"/>
      <c r="P73" s="1"/>
    </row>
    <row r="74" spans="1:16" ht="14.45" customHeight="1" x14ac:dyDescent="0.45">
      <c r="A74" s="1"/>
      <c r="B74" s="7"/>
      <c r="C74" s="20"/>
      <c r="D74" s="7"/>
      <c r="E74" s="9" t="str">
        <f>IF(tbl_Jobs[[#This Row],[Customer_ID]]="","",_xlfn.XLOOKUP(tbl_Jobs[[#This Row],[Customer_ID]],tbl_Customers[Customer_ID],tbl_Customers[Customer_Name],"Not matched"))</f>
        <v/>
      </c>
      <c r="F74" s="9" t="str">
        <f>IF(tbl_Jobs[[#This Row],[Customer_ID]]="","",_xlfn.XLOOKUP(tbl_Jobs[[#This Row],[Customer_ID]],tbl_Customers[Customer_ID],tbl_Customers[Service_Address],"Not matched"))</f>
        <v/>
      </c>
      <c r="G74" s="9" t="str">
        <f>IF(tbl_Jobs[[#This Row],[Customer_ID]]="","",_xlfn.XLOOKUP(tbl_Jobs[[#This Row],[Customer_ID]],tbl_Customers[Customer_ID],tbl_Customers[Default_Service],"Not matched"))</f>
        <v/>
      </c>
      <c r="H74" s="9" t="str">
        <f>IF(tbl_Jobs[[#This Row],[Customer_ID]]="","",_xlfn.XLOOKUP(tbl_Jobs[[#This Row],[Customer_ID]],tbl_Customers[Customer_ID],tbl_Customers[Special_Notes],""))</f>
        <v/>
      </c>
      <c r="I74" s="7"/>
      <c r="J74" s="7"/>
      <c r="K74" s="10"/>
      <c r="L74" s="7"/>
      <c r="M74" s="8" t="str">
        <f>IF(tbl_Jobs[[#This Row],[Customer_ID]]="","",_xlfn.XLOOKUP(tbl_Jobs[[#This Row],[Customer_ID]],tbl_Customers[Customer_ID],tbl_Customers[Standard_Rate],0))</f>
        <v/>
      </c>
      <c r="N74" s="1"/>
      <c r="O74" s="1"/>
      <c r="P74" s="1"/>
    </row>
    <row r="75" spans="1:16" ht="14.45" customHeight="1" x14ac:dyDescent="0.45">
      <c r="A75" s="1"/>
      <c r="B75" s="7"/>
      <c r="C75" s="20"/>
      <c r="D75" s="7"/>
      <c r="E75" s="11" t="str">
        <f>IF(tbl_Jobs[[#This Row],[Customer_ID]]="","",_xlfn.XLOOKUP(tbl_Jobs[[#This Row],[Customer_ID]],tbl_Customers[Customer_ID],tbl_Customers[Customer_Name],"Not matched"))</f>
        <v/>
      </c>
      <c r="F75" s="11" t="str">
        <f>IF(tbl_Jobs[[#This Row],[Customer_ID]]="","",_xlfn.XLOOKUP(tbl_Jobs[[#This Row],[Customer_ID]],tbl_Customers[Customer_ID],tbl_Customers[Service_Address],"Not matched"))</f>
        <v/>
      </c>
      <c r="G75" s="11" t="str">
        <f>IF(tbl_Jobs[[#This Row],[Customer_ID]]="","",_xlfn.XLOOKUP(tbl_Jobs[[#This Row],[Customer_ID]],tbl_Customers[Customer_ID],tbl_Customers[Default_Service],"Not matched"))</f>
        <v/>
      </c>
      <c r="H75" s="11" t="str">
        <f>IF(tbl_Jobs[[#This Row],[Customer_ID]]="","",_xlfn.XLOOKUP(tbl_Jobs[[#This Row],[Customer_ID]],tbl_Customers[Customer_ID],tbl_Customers[Special_Notes],""))</f>
        <v/>
      </c>
      <c r="I75" s="7"/>
      <c r="J75" s="7"/>
      <c r="K75" s="10"/>
      <c r="L75" s="7"/>
      <c r="M75" s="8" t="str">
        <f>IF(tbl_Jobs[[#This Row],[Customer_ID]]="","",_xlfn.XLOOKUP(tbl_Jobs[[#This Row],[Customer_ID]],tbl_Customers[Customer_ID],tbl_Customers[Standard_Rate],0))</f>
        <v/>
      </c>
      <c r="N75" s="1"/>
      <c r="O75" s="1"/>
      <c r="P75" s="1"/>
    </row>
    <row r="76" spans="1:16" ht="14.45" customHeight="1" x14ac:dyDescent="0.45">
      <c r="A76" s="1"/>
      <c r="B76" s="7"/>
      <c r="C76" s="20"/>
      <c r="D76" s="7"/>
      <c r="E76" s="9" t="str">
        <f>IF(tbl_Jobs[[#This Row],[Customer_ID]]="","",_xlfn.XLOOKUP(tbl_Jobs[[#This Row],[Customer_ID]],tbl_Customers[Customer_ID],tbl_Customers[Customer_Name],"Not matched"))</f>
        <v/>
      </c>
      <c r="F76" s="9" t="str">
        <f>IF(tbl_Jobs[[#This Row],[Customer_ID]]="","",_xlfn.XLOOKUP(tbl_Jobs[[#This Row],[Customer_ID]],tbl_Customers[Customer_ID],tbl_Customers[Service_Address],"Not matched"))</f>
        <v/>
      </c>
      <c r="G76" s="9" t="str">
        <f>IF(tbl_Jobs[[#This Row],[Customer_ID]]="","",_xlfn.XLOOKUP(tbl_Jobs[[#This Row],[Customer_ID]],tbl_Customers[Customer_ID],tbl_Customers[Default_Service],"Not matched"))</f>
        <v/>
      </c>
      <c r="H76" s="9" t="str">
        <f>IF(tbl_Jobs[[#This Row],[Customer_ID]]="","",_xlfn.XLOOKUP(tbl_Jobs[[#This Row],[Customer_ID]],tbl_Customers[Customer_ID],tbl_Customers[Special_Notes],""))</f>
        <v/>
      </c>
      <c r="I76" s="7"/>
      <c r="J76" s="7"/>
      <c r="K76" s="10"/>
      <c r="L76" s="7"/>
      <c r="M76" s="8" t="str">
        <f>IF(tbl_Jobs[[#This Row],[Customer_ID]]="","",_xlfn.XLOOKUP(tbl_Jobs[[#This Row],[Customer_ID]],tbl_Customers[Customer_ID],tbl_Customers[Standard_Rate],0))</f>
        <v/>
      </c>
      <c r="N76" s="1"/>
      <c r="O76" s="1"/>
      <c r="P76" s="1"/>
    </row>
    <row r="77" spans="1:16" ht="14.45" customHeight="1" x14ac:dyDescent="0.45">
      <c r="A77" s="1"/>
      <c r="B77" s="7"/>
      <c r="C77" s="20"/>
      <c r="D77" s="7"/>
      <c r="E77" s="11" t="str">
        <f>IF(tbl_Jobs[[#This Row],[Customer_ID]]="","",_xlfn.XLOOKUP(tbl_Jobs[[#This Row],[Customer_ID]],tbl_Customers[Customer_ID],tbl_Customers[Customer_Name],"Not matched"))</f>
        <v/>
      </c>
      <c r="F77" s="11" t="str">
        <f>IF(tbl_Jobs[[#This Row],[Customer_ID]]="","",_xlfn.XLOOKUP(tbl_Jobs[[#This Row],[Customer_ID]],tbl_Customers[Customer_ID],tbl_Customers[Service_Address],"Not matched"))</f>
        <v/>
      </c>
      <c r="G77" s="11" t="str">
        <f>IF(tbl_Jobs[[#This Row],[Customer_ID]]="","",_xlfn.XLOOKUP(tbl_Jobs[[#This Row],[Customer_ID]],tbl_Customers[Customer_ID],tbl_Customers[Default_Service],"Not matched"))</f>
        <v/>
      </c>
      <c r="H77" s="11" t="str">
        <f>IF(tbl_Jobs[[#This Row],[Customer_ID]]="","",_xlfn.XLOOKUP(tbl_Jobs[[#This Row],[Customer_ID]],tbl_Customers[Customer_ID],tbl_Customers[Special_Notes],""))</f>
        <v/>
      </c>
      <c r="I77" s="7"/>
      <c r="J77" s="7"/>
      <c r="K77" s="10"/>
      <c r="L77" s="7"/>
      <c r="M77" s="8" t="str">
        <f>IF(tbl_Jobs[[#This Row],[Customer_ID]]="","",_xlfn.XLOOKUP(tbl_Jobs[[#This Row],[Customer_ID]],tbl_Customers[Customer_ID],tbl_Customers[Standard_Rate],0))</f>
        <v/>
      </c>
      <c r="N77" s="1"/>
      <c r="O77" s="1"/>
      <c r="P77" s="1"/>
    </row>
    <row r="78" spans="1:16" ht="14.45" customHeight="1" x14ac:dyDescent="0.45">
      <c r="A78" s="1"/>
      <c r="B78" s="7"/>
      <c r="C78" s="20"/>
      <c r="D78" s="7"/>
      <c r="E78" s="9" t="str">
        <f>IF(tbl_Jobs[[#This Row],[Customer_ID]]="","",_xlfn.XLOOKUP(tbl_Jobs[[#This Row],[Customer_ID]],tbl_Customers[Customer_ID],tbl_Customers[Customer_Name],"Not matched"))</f>
        <v/>
      </c>
      <c r="F78" s="9" t="str">
        <f>IF(tbl_Jobs[[#This Row],[Customer_ID]]="","",_xlfn.XLOOKUP(tbl_Jobs[[#This Row],[Customer_ID]],tbl_Customers[Customer_ID],tbl_Customers[Service_Address],"Not matched"))</f>
        <v/>
      </c>
      <c r="G78" s="9" t="str">
        <f>IF(tbl_Jobs[[#This Row],[Customer_ID]]="","",_xlfn.XLOOKUP(tbl_Jobs[[#This Row],[Customer_ID]],tbl_Customers[Customer_ID],tbl_Customers[Default_Service],"Not matched"))</f>
        <v/>
      </c>
      <c r="H78" s="9" t="str">
        <f>IF(tbl_Jobs[[#This Row],[Customer_ID]]="","",_xlfn.XLOOKUP(tbl_Jobs[[#This Row],[Customer_ID]],tbl_Customers[Customer_ID],tbl_Customers[Special_Notes],""))</f>
        <v/>
      </c>
      <c r="I78" s="7"/>
      <c r="J78" s="7"/>
      <c r="K78" s="10"/>
      <c r="L78" s="7"/>
      <c r="M78" s="8" t="str">
        <f>IF(tbl_Jobs[[#This Row],[Customer_ID]]="","",_xlfn.XLOOKUP(tbl_Jobs[[#This Row],[Customer_ID]],tbl_Customers[Customer_ID],tbl_Customers[Standard_Rate],0))</f>
        <v/>
      </c>
      <c r="N78" s="1"/>
      <c r="O78" s="1"/>
      <c r="P78" s="1"/>
    </row>
    <row r="79" spans="1:16" ht="14.45" customHeight="1" x14ac:dyDescent="0.45">
      <c r="A79" s="1"/>
      <c r="B79" s="7"/>
      <c r="C79" s="20"/>
      <c r="D79" s="7"/>
      <c r="E79" s="11" t="str">
        <f>IF(tbl_Jobs[[#This Row],[Customer_ID]]="","",_xlfn.XLOOKUP(tbl_Jobs[[#This Row],[Customer_ID]],tbl_Customers[Customer_ID],tbl_Customers[Customer_Name],"Not matched"))</f>
        <v/>
      </c>
      <c r="F79" s="11" t="str">
        <f>IF(tbl_Jobs[[#This Row],[Customer_ID]]="","",_xlfn.XLOOKUP(tbl_Jobs[[#This Row],[Customer_ID]],tbl_Customers[Customer_ID],tbl_Customers[Service_Address],"Not matched"))</f>
        <v/>
      </c>
      <c r="G79" s="11" t="str">
        <f>IF(tbl_Jobs[[#This Row],[Customer_ID]]="","",_xlfn.XLOOKUP(tbl_Jobs[[#This Row],[Customer_ID]],tbl_Customers[Customer_ID],tbl_Customers[Default_Service],"Not matched"))</f>
        <v/>
      </c>
      <c r="H79" s="11" t="str">
        <f>IF(tbl_Jobs[[#This Row],[Customer_ID]]="","",_xlfn.XLOOKUP(tbl_Jobs[[#This Row],[Customer_ID]],tbl_Customers[Customer_ID],tbl_Customers[Special_Notes],""))</f>
        <v/>
      </c>
      <c r="I79" s="7"/>
      <c r="J79" s="7"/>
      <c r="K79" s="10"/>
      <c r="L79" s="7"/>
      <c r="M79" s="8" t="str">
        <f>IF(tbl_Jobs[[#This Row],[Customer_ID]]="","",_xlfn.XLOOKUP(tbl_Jobs[[#This Row],[Customer_ID]],tbl_Customers[Customer_ID],tbl_Customers[Standard_Rate],0))</f>
        <v/>
      </c>
      <c r="N79" s="1"/>
      <c r="O79" s="1"/>
      <c r="P79" s="1"/>
    </row>
    <row r="80" spans="1:16" ht="14.45" customHeight="1" x14ac:dyDescent="0.45">
      <c r="A80" s="1"/>
      <c r="B80" s="7"/>
      <c r="C80" s="20"/>
      <c r="D80" s="7"/>
      <c r="E80" s="9" t="str">
        <f>IF(tbl_Jobs[[#This Row],[Customer_ID]]="","",_xlfn.XLOOKUP(tbl_Jobs[[#This Row],[Customer_ID]],tbl_Customers[Customer_ID],tbl_Customers[Customer_Name],"Not matched"))</f>
        <v/>
      </c>
      <c r="F80" s="9" t="str">
        <f>IF(tbl_Jobs[[#This Row],[Customer_ID]]="","",_xlfn.XLOOKUP(tbl_Jobs[[#This Row],[Customer_ID]],tbl_Customers[Customer_ID],tbl_Customers[Service_Address],"Not matched"))</f>
        <v/>
      </c>
      <c r="G80" s="9" t="str">
        <f>IF(tbl_Jobs[[#This Row],[Customer_ID]]="","",_xlfn.XLOOKUP(tbl_Jobs[[#This Row],[Customer_ID]],tbl_Customers[Customer_ID],tbl_Customers[Default_Service],"Not matched"))</f>
        <v/>
      </c>
      <c r="H80" s="9" t="str">
        <f>IF(tbl_Jobs[[#This Row],[Customer_ID]]="","",_xlfn.XLOOKUP(tbl_Jobs[[#This Row],[Customer_ID]],tbl_Customers[Customer_ID],tbl_Customers[Special_Notes],""))</f>
        <v/>
      </c>
      <c r="I80" s="7"/>
      <c r="J80" s="7"/>
      <c r="K80" s="10"/>
      <c r="L80" s="7"/>
      <c r="M80" s="8" t="str">
        <f>IF(tbl_Jobs[[#This Row],[Customer_ID]]="","",_xlfn.XLOOKUP(tbl_Jobs[[#This Row],[Customer_ID]],tbl_Customers[Customer_ID],tbl_Customers[Standard_Rate],0))</f>
        <v/>
      </c>
      <c r="N80" s="1"/>
      <c r="O80" s="1"/>
      <c r="P80" s="1"/>
    </row>
    <row r="81" spans="1:16" ht="14.45" customHeight="1" x14ac:dyDescent="0.45">
      <c r="A81" s="1"/>
      <c r="B81" s="7"/>
      <c r="C81" s="20"/>
      <c r="D81" s="7"/>
      <c r="E81" s="11" t="str">
        <f>IF(tbl_Jobs[[#This Row],[Customer_ID]]="","",_xlfn.XLOOKUP(tbl_Jobs[[#This Row],[Customer_ID]],tbl_Customers[Customer_ID],tbl_Customers[Customer_Name],"Not matched"))</f>
        <v/>
      </c>
      <c r="F81" s="11" t="str">
        <f>IF(tbl_Jobs[[#This Row],[Customer_ID]]="","",_xlfn.XLOOKUP(tbl_Jobs[[#This Row],[Customer_ID]],tbl_Customers[Customer_ID],tbl_Customers[Service_Address],"Not matched"))</f>
        <v/>
      </c>
      <c r="G81" s="11" t="str">
        <f>IF(tbl_Jobs[[#This Row],[Customer_ID]]="","",_xlfn.XLOOKUP(tbl_Jobs[[#This Row],[Customer_ID]],tbl_Customers[Customer_ID],tbl_Customers[Default_Service],"Not matched"))</f>
        <v/>
      </c>
      <c r="H81" s="11" t="str">
        <f>IF(tbl_Jobs[[#This Row],[Customer_ID]]="","",_xlfn.XLOOKUP(tbl_Jobs[[#This Row],[Customer_ID]],tbl_Customers[Customer_ID],tbl_Customers[Special_Notes],""))</f>
        <v/>
      </c>
      <c r="I81" s="7"/>
      <c r="J81" s="7"/>
      <c r="K81" s="10"/>
      <c r="L81" s="7"/>
      <c r="M81" s="8" t="str">
        <f>IF(tbl_Jobs[[#This Row],[Customer_ID]]="","",_xlfn.XLOOKUP(tbl_Jobs[[#This Row],[Customer_ID]],tbl_Customers[Customer_ID],tbl_Customers[Standard_Rate],0))</f>
        <v/>
      </c>
      <c r="N81" s="1"/>
      <c r="O81" s="1"/>
      <c r="P81" s="1"/>
    </row>
    <row r="82" spans="1:16" ht="14.45" customHeight="1" x14ac:dyDescent="0.45">
      <c r="A82" s="1"/>
      <c r="B82" s="7"/>
      <c r="C82" s="20"/>
      <c r="D82" s="7"/>
      <c r="E82" s="9" t="str">
        <f>IF(tbl_Jobs[[#This Row],[Customer_ID]]="","",_xlfn.XLOOKUP(tbl_Jobs[[#This Row],[Customer_ID]],tbl_Customers[Customer_ID],tbl_Customers[Customer_Name],"Not matched"))</f>
        <v/>
      </c>
      <c r="F82" s="9" t="str">
        <f>IF(tbl_Jobs[[#This Row],[Customer_ID]]="","",_xlfn.XLOOKUP(tbl_Jobs[[#This Row],[Customer_ID]],tbl_Customers[Customer_ID],tbl_Customers[Service_Address],"Not matched"))</f>
        <v/>
      </c>
      <c r="G82" s="9" t="str">
        <f>IF(tbl_Jobs[[#This Row],[Customer_ID]]="","",_xlfn.XLOOKUP(tbl_Jobs[[#This Row],[Customer_ID]],tbl_Customers[Customer_ID],tbl_Customers[Default_Service],"Not matched"))</f>
        <v/>
      </c>
      <c r="H82" s="9" t="str">
        <f>IF(tbl_Jobs[[#This Row],[Customer_ID]]="","",_xlfn.XLOOKUP(tbl_Jobs[[#This Row],[Customer_ID]],tbl_Customers[Customer_ID],tbl_Customers[Special_Notes],""))</f>
        <v/>
      </c>
      <c r="I82" s="7"/>
      <c r="J82" s="7"/>
      <c r="K82" s="10"/>
      <c r="L82" s="7"/>
      <c r="M82" s="8" t="str">
        <f>IF(tbl_Jobs[[#This Row],[Customer_ID]]="","",_xlfn.XLOOKUP(tbl_Jobs[[#This Row],[Customer_ID]],tbl_Customers[Customer_ID],tbl_Customers[Standard_Rate],0))</f>
        <v/>
      </c>
      <c r="N82" s="1"/>
      <c r="O82" s="1"/>
      <c r="P82" s="1"/>
    </row>
    <row r="83" spans="1:16" ht="14.45" customHeight="1" x14ac:dyDescent="0.45">
      <c r="A83" s="1"/>
      <c r="B83" s="7"/>
      <c r="C83" s="20"/>
      <c r="D83" s="7"/>
      <c r="E83" s="11" t="str">
        <f>IF(tbl_Jobs[[#This Row],[Customer_ID]]="","",_xlfn.XLOOKUP(tbl_Jobs[[#This Row],[Customer_ID]],tbl_Customers[Customer_ID],tbl_Customers[Customer_Name],"Not matched"))</f>
        <v/>
      </c>
      <c r="F83" s="11" t="str">
        <f>IF(tbl_Jobs[[#This Row],[Customer_ID]]="","",_xlfn.XLOOKUP(tbl_Jobs[[#This Row],[Customer_ID]],tbl_Customers[Customer_ID],tbl_Customers[Service_Address],"Not matched"))</f>
        <v/>
      </c>
      <c r="G83" s="11" t="str">
        <f>IF(tbl_Jobs[[#This Row],[Customer_ID]]="","",_xlfn.XLOOKUP(tbl_Jobs[[#This Row],[Customer_ID]],tbl_Customers[Customer_ID],tbl_Customers[Default_Service],"Not matched"))</f>
        <v/>
      </c>
      <c r="H83" s="11" t="str">
        <f>IF(tbl_Jobs[[#This Row],[Customer_ID]]="","",_xlfn.XLOOKUP(tbl_Jobs[[#This Row],[Customer_ID]],tbl_Customers[Customer_ID],tbl_Customers[Special_Notes],""))</f>
        <v/>
      </c>
      <c r="I83" s="7"/>
      <c r="J83" s="7"/>
      <c r="K83" s="10"/>
      <c r="L83" s="7"/>
      <c r="M83" s="8" t="str">
        <f>IF(tbl_Jobs[[#This Row],[Customer_ID]]="","",_xlfn.XLOOKUP(tbl_Jobs[[#This Row],[Customer_ID]],tbl_Customers[Customer_ID],tbl_Customers[Standard_Rate],0))</f>
        <v/>
      </c>
      <c r="N83" s="1"/>
      <c r="O83" s="1"/>
      <c r="P83" s="1"/>
    </row>
    <row r="84" spans="1:16" ht="14.45" customHeight="1" x14ac:dyDescent="0.45">
      <c r="A84" s="1"/>
      <c r="B84" s="7"/>
      <c r="C84" s="20"/>
      <c r="D84" s="7"/>
      <c r="E84" s="9" t="str">
        <f>IF(tbl_Jobs[[#This Row],[Customer_ID]]="","",_xlfn.XLOOKUP(tbl_Jobs[[#This Row],[Customer_ID]],tbl_Customers[Customer_ID],tbl_Customers[Customer_Name],"Not matched"))</f>
        <v/>
      </c>
      <c r="F84" s="9" t="str">
        <f>IF(tbl_Jobs[[#This Row],[Customer_ID]]="","",_xlfn.XLOOKUP(tbl_Jobs[[#This Row],[Customer_ID]],tbl_Customers[Customer_ID],tbl_Customers[Service_Address],"Not matched"))</f>
        <v/>
      </c>
      <c r="G84" s="9" t="str">
        <f>IF(tbl_Jobs[[#This Row],[Customer_ID]]="","",_xlfn.XLOOKUP(tbl_Jobs[[#This Row],[Customer_ID]],tbl_Customers[Customer_ID],tbl_Customers[Default_Service],"Not matched"))</f>
        <v/>
      </c>
      <c r="H84" s="9" t="str">
        <f>IF(tbl_Jobs[[#This Row],[Customer_ID]]="","",_xlfn.XLOOKUP(tbl_Jobs[[#This Row],[Customer_ID]],tbl_Customers[Customer_ID],tbl_Customers[Special_Notes],""))</f>
        <v/>
      </c>
      <c r="I84" s="7"/>
      <c r="J84" s="7"/>
      <c r="K84" s="10"/>
      <c r="L84" s="7"/>
      <c r="M84" s="8" t="str">
        <f>IF(tbl_Jobs[[#This Row],[Customer_ID]]="","",_xlfn.XLOOKUP(tbl_Jobs[[#This Row],[Customer_ID]],tbl_Customers[Customer_ID],tbl_Customers[Standard_Rate],0))</f>
        <v/>
      </c>
      <c r="N84" s="1"/>
      <c r="O84" s="1"/>
      <c r="P84" s="1"/>
    </row>
    <row r="85" spans="1:16" ht="14.45" customHeight="1" x14ac:dyDescent="0.45">
      <c r="A85" s="1"/>
      <c r="B85" s="7"/>
      <c r="C85" s="20"/>
      <c r="D85" s="7"/>
      <c r="E85" s="11" t="str">
        <f>IF(tbl_Jobs[[#This Row],[Customer_ID]]="","",_xlfn.XLOOKUP(tbl_Jobs[[#This Row],[Customer_ID]],tbl_Customers[Customer_ID],tbl_Customers[Customer_Name],"Not matched"))</f>
        <v/>
      </c>
      <c r="F85" s="11" t="str">
        <f>IF(tbl_Jobs[[#This Row],[Customer_ID]]="","",_xlfn.XLOOKUP(tbl_Jobs[[#This Row],[Customer_ID]],tbl_Customers[Customer_ID],tbl_Customers[Service_Address],"Not matched"))</f>
        <v/>
      </c>
      <c r="G85" s="11" t="str">
        <f>IF(tbl_Jobs[[#This Row],[Customer_ID]]="","",_xlfn.XLOOKUP(tbl_Jobs[[#This Row],[Customer_ID]],tbl_Customers[Customer_ID],tbl_Customers[Default_Service],"Not matched"))</f>
        <v/>
      </c>
      <c r="H85" s="11" t="str">
        <f>IF(tbl_Jobs[[#This Row],[Customer_ID]]="","",_xlfn.XLOOKUP(tbl_Jobs[[#This Row],[Customer_ID]],tbl_Customers[Customer_ID],tbl_Customers[Special_Notes],""))</f>
        <v/>
      </c>
      <c r="I85" s="7"/>
      <c r="J85" s="7"/>
      <c r="K85" s="10"/>
      <c r="L85" s="7"/>
      <c r="M85" s="8" t="str">
        <f>IF(tbl_Jobs[[#This Row],[Customer_ID]]="","",_xlfn.XLOOKUP(tbl_Jobs[[#This Row],[Customer_ID]],tbl_Customers[Customer_ID],tbl_Customers[Standard_Rate],0))</f>
        <v/>
      </c>
      <c r="N85" s="1"/>
      <c r="O85" s="1"/>
      <c r="P85" s="1"/>
    </row>
    <row r="86" spans="1:16" ht="14.45" customHeight="1" x14ac:dyDescent="0.45">
      <c r="A86" s="1"/>
      <c r="B86" s="7"/>
      <c r="C86" s="20"/>
      <c r="D86" s="7"/>
      <c r="E86" s="9" t="str">
        <f>IF(tbl_Jobs[[#This Row],[Customer_ID]]="","",_xlfn.XLOOKUP(tbl_Jobs[[#This Row],[Customer_ID]],tbl_Customers[Customer_ID],tbl_Customers[Customer_Name],"Not matched"))</f>
        <v/>
      </c>
      <c r="F86" s="9" t="str">
        <f>IF(tbl_Jobs[[#This Row],[Customer_ID]]="","",_xlfn.XLOOKUP(tbl_Jobs[[#This Row],[Customer_ID]],tbl_Customers[Customer_ID],tbl_Customers[Service_Address],"Not matched"))</f>
        <v/>
      </c>
      <c r="G86" s="9" t="str">
        <f>IF(tbl_Jobs[[#This Row],[Customer_ID]]="","",_xlfn.XLOOKUP(tbl_Jobs[[#This Row],[Customer_ID]],tbl_Customers[Customer_ID],tbl_Customers[Default_Service],"Not matched"))</f>
        <v/>
      </c>
      <c r="H86" s="9" t="str">
        <f>IF(tbl_Jobs[[#This Row],[Customer_ID]]="","",_xlfn.XLOOKUP(tbl_Jobs[[#This Row],[Customer_ID]],tbl_Customers[Customer_ID],tbl_Customers[Special_Notes],""))</f>
        <v/>
      </c>
      <c r="I86" s="7"/>
      <c r="J86" s="7"/>
      <c r="K86" s="10"/>
      <c r="L86" s="7"/>
      <c r="M86" s="8" t="str">
        <f>IF(tbl_Jobs[[#This Row],[Customer_ID]]="","",_xlfn.XLOOKUP(tbl_Jobs[[#This Row],[Customer_ID]],tbl_Customers[Customer_ID],tbl_Customers[Standard_Rate],0))</f>
        <v/>
      </c>
      <c r="N86" s="1"/>
      <c r="O86" s="1"/>
      <c r="P86" s="1"/>
    </row>
    <row r="87" spans="1:16" ht="14.45" customHeight="1" x14ac:dyDescent="0.45">
      <c r="A87" s="1"/>
      <c r="B87" s="7"/>
      <c r="C87" s="20"/>
      <c r="D87" s="7"/>
      <c r="E87" s="11" t="str">
        <f>IF(tbl_Jobs[[#This Row],[Customer_ID]]="","",_xlfn.XLOOKUP(tbl_Jobs[[#This Row],[Customer_ID]],tbl_Customers[Customer_ID],tbl_Customers[Customer_Name],"Not matched"))</f>
        <v/>
      </c>
      <c r="F87" s="11" t="str">
        <f>IF(tbl_Jobs[[#This Row],[Customer_ID]]="","",_xlfn.XLOOKUP(tbl_Jobs[[#This Row],[Customer_ID]],tbl_Customers[Customer_ID],tbl_Customers[Service_Address],"Not matched"))</f>
        <v/>
      </c>
      <c r="G87" s="11" t="str">
        <f>IF(tbl_Jobs[[#This Row],[Customer_ID]]="","",_xlfn.XLOOKUP(tbl_Jobs[[#This Row],[Customer_ID]],tbl_Customers[Customer_ID],tbl_Customers[Default_Service],"Not matched"))</f>
        <v/>
      </c>
      <c r="H87" s="11" t="str">
        <f>IF(tbl_Jobs[[#This Row],[Customer_ID]]="","",_xlfn.XLOOKUP(tbl_Jobs[[#This Row],[Customer_ID]],tbl_Customers[Customer_ID],tbl_Customers[Special_Notes],""))</f>
        <v/>
      </c>
      <c r="I87" s="7"/>
      <c r="J87" s="7"/>
      <c r="K87" s="10"/>
      <c r="L87" s="7"/>
      <c r="M87" s="8" t="str">
        <f>IF(tbl_Jobs[[#This Row],[Customer_ID]]="","",_xlfn.XLOOKUP(tbl_Jobs[[#This Row],[Customer_ID]],tbl_Customers[Customer_ID],tbl_Customers[Standard_Rate],0))</f>
        <v/>
      </c>
      <c r="N87" s="1"/>
      <c r="O87" s="1"/>
      <c r="P87" s="1"/>
    </row>
    <row r="88" spans="1:16" ht="14.45" customHeight="1" x14ac:dyDescent="0.45">
      <c r="A88" s="1"/>
      <c r="B88" s="7"/>
      <c r="C88" s="20"/>
      <c r="D88" s="7"/>
      <c r="E88" s="9" t="str">
        <f>IF(tbl_Jobs[[#This Row],[Customer_ID]]="","",_xlfn.XLOOKUP(tbl_Jobs[[#This Row],[Customer_ID]],tbl_Customers[Customer_ID],tbl_Customers[Customer_Name],"Not matched"))</f>
        <v/>
      </c>
      <c r="F88" s="9" t="str">
        <f>IF(tbl_Jobs[[#This Row],[Customer_ID]]="","",_xlfn.XLOOKUP(tbl_Jobs[[#This Row],[Customer_ID]],tbl_Customers[Customer_ID],tbl_Customers[Service_Address],"Not matched"))</f>
        <v/>
      </c>
      <c r="G88" s="9" t="str">
        <f>IF(tbl_Jobs[[#This Row],[Customer_ID]]="","",_xlfn.XLOOKUP(tbl_Jobs[[#This Row],[Customer_ID]],tbl_Customers[Customer_ID],tbl_Customers[Default_Service],"Not matched"))</f>
        <v/>
      </c>
      <c r="H88" s="9" t="str">
        <f>IF(tbl_Jobs[[#This Row],[Customer_ID]]="","",_xlfn.XLOOKUP(tbl_Jobs[[#This Row],[Customer_ID]],tbl_Customers[Customer_ID],tbl_Customers[Special_Notes],""))</f>
        <v/>
      </c>
      <c r="I88" s="7"/>
      <c r="J88" s="7"/>
      <c r="K88" s="10"/>
      <c r="L88" s="7"/>
      <c r="M88" s="8" t="str">
        <f>IF(tbl_Jobs[[#This Row],[Customer_ID]]="","",_xlfn.XLOOKUP(tbl_Jobs[[#This Row],[Customer_ID]],tbl_Customers[Customer_ID],tbl_Customers[Standard_Rate],0))</f>
        <v/>
      </c>
      <c r="N88" s="1"/>
      <c r="O88" s="1"/>
      <c r="P88" s="1"/>
    </row>
    <row r="89" spans="1:16" ht="14.45" customHeight="1" x14ac:dyDescent="0.45">
      <c r="A89" s="1"/>
      <c r="B89" s="7"/>
      <c r="C89" s="20"/>
      <c r="D89" s="7"/>
      <c r="E89" s="11" t="str">
        <f>IF(tbl_Jobs[[#This Row],[Customer_ID]]="","",_xlfn.XLOOKUP(tbl_Jobs[[#This Row],[Customer_ID]],tbl_Customers[Customer_ID],tbl_Customers[Customer_Name],"Not matched"))</f>
        <v/>
      </c>
      <c r="F89" s="11" t="str">
        <f>IF(tbl_Jobs[[#This Row],[Customer_ID]]="","",_xlfn.XLOOKUP(tbl_Jobs[[#This Row],[Customer_ID]],tbl_Customers[Customer_ID],tbl_Customers[Service_Address],"Not matched"))</f>
        <v/>
      </c>
      <c r="G89" s="11" t="str">
        <f>IF(tbl_Jobs[[#This Row],[Customer_ID]]="","",_xlfn.XLOOKUP(tbl_Jobs[[#This Row],[Customer_ID]],tbl_Customers[Customer_ID],tbl_Customers[Default_Service],"Not matched"))</f>
        <v/>
      </c>
      <c r="H89" s="11" t="str">
        <f>IF(tbl_Jobs[[#This Row],[Customer_ID]]="","",_xlfn.XLOOKUP(tbl_Jobs[[#This Row],[Customer_ID]],tbl_Customers[Customer_ID],tbl_Customers[Special_Notes],""))</f>
        <v/>
      </c>
      <c r="I89" s="7"/>
      <c r="J89" s="7"/>
      <c r="K89" s="10"/>
      <c r="L89" s="7"/>
      <c r="M89" s="8" t="str">
        <f>IF(tbl_Jobs[[#This Row],[Customer_ID]]="","",_xlfn.XLOOKUP(tbl_Jobs[[#This Row],[Customer_ID]],tbl_Customers[Customer_ID],tbl_Customers[Standard_Rate],0))</f>
        <v/>
      </c>
      <c r="N89" s="1"/>
      <c r="O89" s="1"/>
      <c r="P89" s="1"/>
    </row>
    <row r="90" spans="1:16" ht="14.45" customHeight="1" x14ac:dyDescent="0.45">
      <c r="A90" s="1"/>
      <c r="B90" s="7"/>
      <c r="C90" s="20"/>
      <c r="D90" s="7"/>
      <c r="E90" s="9" t="str">
        <f>IF(tbl_Jobs[[#This Row],[Customer_ID]]="","",_xlfn.XLOOKUP(tbl_Jobs[[#This Row],[Customer_ID]],tbl_Customers[Customer_ID],tbl_Customers[Customer_Name],"Not matched"))</f>
        <v/>
      </c>
      <c r="F90" s="9" t="str">
        <f>IF(tbl_Jobs[[#This Row],[Customer_ID]]="","",_xlfn.XLOOKUP(tbl_Jobs[[#This Row],[Customer_ID]],tbl_Customers[Customer_ID],tbl_Customers[Service_Address],"Not matched"))</f>
        <v/>
      </c>
      <c r="G90" s="9" t="str">
        <f>IF(tbl_Jobs[[#This Row],[Customer_ID]]="","",_xlfn.XLOOKUP(tbl_Jobs[[#This Row],[Customer_ID]],tbl_Customers[Customer_ID],tbl_Customers[Default_Service],"Not matched"))</f>
        <v/>
      </c>
      <c r="H90" s="9" t="str">
        <f>IF(tbl_Jobs[[#This Row],[Customer_ID]]="","",_xlfn.XLOOKUP(tbl_Jobs[[#This Row],[Customer_ID]],tbl_Customers[Customer_ID],tbl_Customers[Special_Notes],""))</f>
        <v/>
      </c>
      <c r="I90" s="7"/>
      <c r="J90" s="7"/>
      <c r="K90" s="10"/>
      <c r="L90" s="7"/>
      <c r="M90" s="8" t="str">
        <f>IF(tbl_Jobs[[#This Row],[Customer_ID]]="","",_xlfn.XLOOKUP(tbl_Jobs[[#This Row],[Customer_ID]],tbl_Customers[Customer_ID],tbl_Customers[Standard_Rate],0))</f>
        <v/>
      </c>
      <c r="N90" s="1"/>
      <c r="O90" s="1"/>
      <c r="P90" s="1"/>
    </row>
    <row r="91" spans="1:16" ht="14.45" customHeight="1" x14ac:dyDescent="0.45">
      <c r="A91" s="1"/>
      <c r="B91" s="7"/>
      <c r="C91" s="20"/>
      <c r="D91" s="7"/>
      <c r="E91" s="11" t="str">
        <f>IF(tbl_Jobs[[#This Row],[Customer_ID]]="","",_xlfn.XLOOKUP(tbl_Jobs[[#This Row],[Customer_ID]],tbl_Customers[Customer_ID],tbl_Customers[Customer_Name],"Not matched"))</f>
        <v/>
      </c>
      <c r="F91" s="11" t="str">
        <f>IF(tbl_Jobs[[#This Row],[Customer_ID]]="","",_xlfn.XLOOKUP(tbl_Jobs[[#This Row],[Customer_ID]],tbl_Customers[Customer_ID],tbl_Customers[Service_Address],"Not matched"))</f>
        <v/>
      </c>
      <c r="G91" s="11" t="str">
        <f>IF(tbl_Jobs[[#This Row],[Customer_ID]]="","",_xlfn.XLOOKUP(tbl_Jobs[[#This Row],[Customer_ID]],tbl_Customers[Customer_ID],tbl_Customers[Default_Service],"Not matched"))</f>
        <v/>
      </c>
      <c r="H91" s="11" t="str">
        <f>IF(tbl_Jobs[[#This Row],[Customer_ID]]="","",_xlfn.XLOOKUP(tbl_Jobs[[#This Row],[Customer_ID]],tbl_Customers[Customer_ID],tbl_Customers[Special_Notes],""))</f>
        <v/>
      </c>
      <c r="I91" s="7"/>
      <c r="J91" s="7"/>
      <c r="K91" s="10"/>
      <c r="L91" s="7"/>
      <c r="M91" s="8" t="str">
        <f>IF(tbl_Jobs[[#This Row],[Customer_ID]]="","",_xlfn.XLOOKUP(tbl_Jobs[[#This Row],[Customer_ID]],tbl_Customers[Customer_ID],tbl_Customers[Standard_Rate],0))</f>
        <v/>
      </c>
      <c r="N91" s="1"/>
      <c r="O91" s="1"/>
      <c r="P91" s="1"/>
    </row>
    <row r="92" spans="1:16" ht="14.45" customHeight="1" x14ac:dyDescent="0.45">
      <c r="A92" s="1"/>
      <c r="B92" s="7"/>
      <c r="C92" s="20"/>
      <c r="D92" s="7"/>
      <c r="E92" s="9" t="str">
        <f>IF(tbl_Jobs[[#This Row],[Customer_ID]]="","",_xlfn.XLOOKUP(tbl_Jobs[[#This Row],[Customer_ID]],tbl_Customers[Customer_ID],tbl_Customers[Customer_Name],"Not matched"))</f>
        <v/>
      </c>
      <c r="F92" s="9" t="str">
        <f>IF(tbl_Jobs[[#This Row],[Customer_ID]]="","",_xlfn.XLOOKUP(tbl_Jobs[[#This Row],[Customer_ID]],tbl_Customers[Customer_ID],tbl_Customers[Service_Address],"Not matched"))</f>
        <v/>
      </c>
      <c r="G92" s="9" t="str">
        <f>IF(tbl_Jobs[[#This Row],[Customer_ID]]="","",_xlfn.XLOOKUP(tbl_Jobs[[#This Row],[Customer_ID]],tbl_Customers[Customer_ID],tbl_Customers[Default_Service],"Not matched"))</f>
        <v/>
      </c>
      <c r="H92" s="9" t="str">
        <f>IF(tbl_Jobs[[#This Row],[Customer_ID]]="","",_xlfn.XLOOKUP(tbl_Jobs[[#This Row],[Customer_ID]],tbl_Customers[Customer_ID],tbl_Customers[Special_Notes],""))</f>
        <v/>
      </c>
      <c r="I92" s="7"/>
      <c r="J92" s="7"/>
      <c r="K92" s="10"/>
      <c r="L92" s="7"/>
      <c r="M92" s="8" t="str">
        <f>IF(tbl_Jobs[[#This Row],[Customer_ID]]="","",_xlfn.XLOOKUP(tbl_Jobs[[#This Row],[Customer_ID]],tbl_Customers[Customer_ID],tbl_Customers[Standard_Rate],0))</f>
        <v/>
      </c>
      <c r="N92" s="1"/>
      <c r="O92" s="1"/>
      <c r="P92" s="1"/>
    </row>
    <row r="93" spans="1:16" ht="14.45" customHeight="1" x14ac:dyDescent="0.45">
      <c r="A93" s="1"/>
      <c r="B93" s="7"/>
      <c r="C93" s="20"/>
      <c r="D93" s="7"/>
      <c r="E93" s="11" t="str">
        <f>IF(tbl_Jobs[[#This Row],[Customer_ID]]="","",_xlfn.XLOOKUP(tbl_Jobs[[#This Row],[Customer_ID]],tbl_Customers[Customer_ID],tbl_Customers[Customer_Name],"Not matched"))</f>
        <v/>
      </c>
      <c r="F93" s="11" t="str">
        <f>IF(tbl_Jobs[[#This Row],[Customer_ID]]="","",_xlfn.XLOOKUP(tbl_Jobs[[#This Row],[Customer_ID]],tbl_Customers[Customer_ID],tbl_Customers[Service_Address],"Not matched"))</f>
        <v/>
      </c>
      <c r="G93" s="11" t="str">
        <f>IF(tbl_Jobs[[#This Row],[Customer_ID]]="","",_xlfn.XLOOKUP(tbl_Jobs[[#This Row],[Customer_ID]],tbl_Customers[Customer_ID],tbl_Customers[Default_Service],"Not matched"))</f>
        <v/>
      </c>
      <c r="H93" s="11" t="str">
        <f>IF(tbl_Jobs[[#This Row],[Customer_ID]]="","",_xlfn.XLOOKUP(tbl_Jobs[[#This Row],[Customer_ID]],tbl_Customers[Customer_ID],tbl_Customers[Special_Notes],""))</f>
        <v/>
      </c>
      <c r="I93" s="7"/>
      <c r="J93" s="7"/>
      <c r="K93" s="10"/>
      <c r="L93" s="7"/>
      <c r="M93" s="8" t="str">
        <f>IF(tbl_Jobs[[#This Row],[Customer_ID]]="","",_xlfn.XLOOKUP(tbl_Jobs[[#This Row],[Customer_ID]],tbl_Customers[Customer_ID],tbl_Customers[Standard_Rate],0))</f>
        <v/>
      </c>
      <c r="N93" s="1"/>
      <c r="O93" s="1"/>
      <c r="P93" s="1"/>
    </row>
    <row r="94" spans="1:16" ht="14.45" customHeight="1" x14ac:dyDescent="0.45">
      <c r="A94" s="1"/>
      <c r="B94" s="7"/>
      <c r="C94" s="20"/>
      <c r="D94" s="7"/>
      <c r="E94" s="9" t="str">
        <f>IF(tbl_Jobs[[#This Row],[Customer_ID]]="","",_xlfn.XLOOKUP(tbl_Jobs[[#This Row],[Customer_ID]],tbl_Customers[Customer_ID],tbl_Customers[Customer_Name],"Not matched"))</f>
        <v/>
      </c>
      <c r="F94" s="9" t="str">
        <f>IF(tbl_Jobs[[#This Row],[Customer_ID]]="","",_xlfn.XLOOKUP(tbl_Jobs[[#This Row],[Customer_ID]],tbl_Customers[Customer_ID],tbl_Customers[Service_Address],"Not matched"))</f>
        <v/>
      </c>
      <c r="G94" s="9" t="str">
        <f>IF(tbl_Jobs[[#This Row],[Customer_ID]]="","",_xlfn.XLOOKUP(tbl_Jobs[[#This Row],[Customer_ID]],tbl_Customers[Customer_ID],tbl_Customers[Default_Service],"Not matched"))</f>
        <v/>
      </c>
      <c r="H94" s="9" t="str">
        <f>IF(tbl_Jobs[[#This Row],[Customer_ID]]="","",_xlfn.XLOOKUP(tbl_Jobs[[#This Row],[Customer_ID]],tbl_Customers[Customer_ID],tbl_Customers[Special_Notes],""))</f>
        <v/>
      </c>
      <c r="I94" s="7"/>
      <c r="J94" s="7"/>
      <c r="K94" s="10"/>
      <c r="L94" s="7"/>
      <c r="M94" s="8" t="str">
        <f>IF(tbl_Jobs[[#This Row],[Customer_ID]]="","",_xlfn.XLOOKUP(tbl_Jobs[[#This Row],[Customer_ID]],tbl_Customers[Customer_ID],tbl_Customers[Standard_Rate],0))</f>
        <v/>
      </c>
      <c r="N94" s="1"/>
      <c r="O94" s="1"/>
      <c r="P94" s="1"/>
    </row>
    <row r="95" spans="1:16" ht="14.45" customHeight="1" x14ac:dyDescent="0.45">
      <c r="A95" s="1"/>
      <c r="B95" s="7"/>
      <c r="C95" s="20"/>
      <c r="D95" s="7"/>
      <c r="E95" s="11" t="str">
        <f>IF(tbl_Jobs[[#This Row],[Customer_ID]]="","",_xlfn.XLOOKUP(tbl_Jobs[[#This Row],[Customer_ID]],tbl_Customers[Customer_ID],tbl_Customers[Customer_Name],"Not matched"))</f>
        <v/>
      </c>
      <c r="F95" s="11" t="str">
        <f>IF(tbl_Jobs[[#This Row],[Customer_ID]]="","",_xlfn.XLOOKUP(tbl_Jobs[[#This Row],[Customer_ID]],tbl_Customers[Customer_ID],tbl_Customers[Service_Address],"Not matched"))</f>
        <v/>
      </c>
      <c r="G95" s="11" t="str">
        <f>IF(tbl_Jobs[[#This Row],[Customer_ID]]="","",_xlfn.XLOOKUP(tbl_Jobs[[#This Row],[Customer_ID]],tbl_Customers[Customer_ID],tbl_Customers[Default_Service],"Not matched"))</f>
        <v/>
      </c>
      <c r="H95" s="11" t="str">
        <f>IF(tbl_Jobs[[#This Row],[Customer_ID]]="","",_xlfn.XLOOKUP(tbl_Jobs[[#This Row],[Customer_ID]],tbl_Customers[Customer_ID],tbl_Customers[Special_Notes],""))</f>
        <v/>
      </c>
      <c r="I95" s="7"/>
      <c r="J95" s="7"/>
      <c r="K95" s="10"/>
      <c r="L95" s="7"/>
      <c r="M95" s="8" t="str">
        <f>IF(tbl_Jobs[[#This Row],[Customer_ID]]="","",_xlfn.XLOOKUP(tbl_Jobs[[#This Row],[Customer_ID]],tbl_Customers[Customer_ID],tbl_Customers[Standard_Rate],0))</f>
        <v/>
      </c>
      <c r="N95" s="1"/>
      <c r="O95" s="1"/>
      <c r="P95" s="1"/>
    </row>
    <row r="96" spans="1:16" ht="14.45" customHeight="1" x14ac:dyDescent="0.45">
      <c r="A96" s="1"/>
      <c r="B96" s="7"/>
      <c r="C96" s="20"/>
      <c r="D96" s="7"/>
      <c r="E96" s="9" t="str">
        <f>IF(tbl_Jobs[[#This Row],[Customer_ID]]="","",_xlfn.XLOOKUP(tbl_Jobs[[#This Row],[Customer_ID]],tbl_Customers[Customer_ID],tbl_Customers[Customer_Name],"Not matched"))</f>
        <v/>
      </c>
      <c r="F96" s="9" t="str">
        <f>IF(tbl_Jobs[[#This Row],[Customer_ID]]="","",_xlfn.XLOOKUP(tbl_Jobs[[#This Row],[Customer_ID]],tbl_Customers[Customer_ID],tbl_Customers[Service_Address],"Not matched"))</f>
        <v/>
      </c>
      <c r="G96" s="9" t="str">
        <f>IF(tbl_Jobs[[#This Row],[Customer_ID]]="","",_xlfn.XLOOKUP(tbl_Jobs[[#This Row],[Customer_ID]],tbl_Customers[Customer_ID],tbl_Customers[Default_Service],"Not matched"))</f>
        <v/>
      </c>
      <c r="H96" s="9" t="str">
        <f>IF(tbl_Jobs[[#This Row],[Customer_ID]]="","",_xlfn.XLOOKUP(tbl_Jobs[[#This Row],[Customer_ID]],tbl_Customers[Customer_ID],tbl_Customers[Special_Notes],""))</f>
        <v/>
      </c>
      <c r="I96" s="7"/>
      <c r="J96" s="7"/>
      <c r="K96" s="10"/>
      <c r="L96" s="7"/>
      <c r="M96" s="8" t="str">
        <f>IF(tbl_Jobs[[#This Row],[Customer_ID]]="","",_xlfn.XLOOKUP(tbl_Jobs[[#This Row],[Customer_ID]],tbl_Customers[Customer_ID],tbl_Customers[Standard_Rate],0))</f>
        <v/>
      </c>
      <c r="N96" s="1"/>
      <c r="O96" s="1"/>
      <c r="P96" s="1"/>
    </row>
    <row r="97" spans="1:16" ht="14.45" customHeight="1" x14ac:dyDescent="0.45">
      <c r="A97" s="1"/>
      <c r="B97" s="7"/>
      <c r="C97" s="20"/>
      <c r="D97" s="7"/>
      <c r="E97" s="11" t="str">
        <f>IF(tbl_Jobs[[#This Row],[Customer_ID]]="","",_xlfn.XLOOKUP(tbl_Jobs[[#This Row],[Customer_ID]],tbl_Customers[Customer_ID],tbl_Customers[Customer_Name],"Not matched"))</f>
        <v/>
      </c>
      <c r="F97" s="11" t="str">
        <f>IF(tbl_Jobs[[#This Row],[Customer_ID]]="","",_xlfn.XLOOKUP(tbl_Jobs[[#This Row],[Customer_ID]],tbl_Customers[Customer_ID],tbl_Customers[Service_Address],"Not matched"))</f>
        <v/>
      </c>
      <c r="G97" s="11" t="str">
        <f>IF(tbl_Jobs[[#This Row],[Customer_ID]]="","",_xlfn.XLOOKUP(tbl_Jobs[[#This Row],[Customer_ID]],tbl_Customers[Customer_ID],tbl_Customers[Default_Service],"Not matched"))</f>
        <v/>
      </c>
      <c r="H97" s="11" t="str">
        <f>IF(tbl_Jobs[[#This Row],[Customer_ID]]="","",_xlfn.XLOOKUP(tbl_Jobs[[#This Row],[Customer_ID]],tbl_Customers[Customer_ID],tbl_Customers[Special_Notes],""))</f>
        <v/>
      </c>
      <c r="I97" s="7"/>
      <c r="J97" s="7"/>
      <c r="K97" s="10"/>
      <c r="L97" s="7"/>
      <c r="M97" s="8" t="str">
        <f>IF(tbl_Jobs[[#This Row],[Customer_ID]]="","",_xlfn.XLOOKUP(tbl_Jobs[[#This Row],[Customer_ID]],tbl_Customers[Customer_ID],tbl_Customers[Standard_Rate],0))</f>
        <v/>
      </c>
      <c r="N97" s="1"/>
      <c r="O97" s="1"/>
      <c r="P97" s="1"/>
    </row>
    <row r="98" spans="1:16" ht="14.45" customHeight="1" x14ac:dyDescent="0.45">
      <c r="A98" s="1"/>
      <c r="B98" s="7"/>
      <c r="C98" s="20"/>
      <c r="D98" s="7"/>
      <c r="E98" s="9" t="str">
        <f>IF(tbl_Jobs[[#This Row],[Customer_ID]]="","",_xlfn.XLOOKUP(tbl_Jobs[[#This Row],[Customer_ID]],tbl_Customers[Customer_ID],tbl_Customers[Customer_Name],"Not matched"))</f>
        <v/>
      </c>
      <c r="F98" s="9" t="str">
        <f>IF(tbl_Jobs[[#This Row],[Customer_ID]]="","",_xlfn.XLOOKUP(tbl_Jobs[[#This Row],[Customer_ID]],tbl_Customers[Customer_ID],tbl_Customers[Service_Address],"Not matched"))</f>
        <v/>
      </c>
      <c r="G98" s="9" t="str">
        <f>IF(tbl_Jobs[[#This Row],[Customer_ID]]="","",_xlfn.XLOOKUP(tbl_Jobs[[#This Row],[Customer_ID]],tbl_Customers[Customer_ID],tbl_Customers[Default_Service],"Not matched"))</f>
        <v/>
      </c>
      <c r="H98" s="9" t="str">
        <f>IF(tbl_Jobs[[#This Row],[Customer_ID]]="","",_xlfn.XLOOKUP(tbl_Jobs[[#This Row],[Customer_ID]],tbl_Customers[Customer_ID],tbl_Customers[Special_Notes],""))</f>
        <v/>
      </c>
      <c r="I98" s="7"/>
      <c r="J98" s="7"/>
      <c r="K98" s="10"/>
      <c r="L98" s="7"/>
      <c r="M98" s="8" t="str">
        <f>IF(tbl_Jobs[[#This Row],[Customer_ID]]="","",_xlfn.XLOOKUP(tbl_Jobs[[#This Row],[Customer_ID]],tbl_Customers[Customer_ID],tbl_Customers[Standard_Rate],0))</f>
        <v/>
      </c>
      <c r="N98" s="1"/>
      <c r="O98" s="1"/>
      <c r="P98" s="1"/>
    </row>
    <row r="99" spans="1:16" ht="14.45" customHeight="1" x14ac:dyDescent="0.45">
      <c r="A99" s="1"/>
      <c r="B99" s="7"/>
      <c r="C99" s="20"/>
      <c r="D99" s="7"/>
      <c r="E99" s="11" t="str">
        <f>IF(tbl_Jobs[[#This Row],[Customer_ID]]="","",_xlfn.XLOOKUP(tbl_Jobs[[#This Row],[Customer_ID]],tbl_Customers[Customer_ID],tbl_Customers[Customer_Name],"Not matched"))</f>
        <v/>
      </c>
      <c r="F99" s="11" t="str">
        <f>IF(tbl_Jobs[[#This Row],[Customer_ID]]="","",_xlfn.XLOOKUP(tbl_Jobs[[#This Row],[Customer_ID]],tbl_Customers[Customer_ID],tbl_Customers[Service_Address],"Not matched"))</f>
        <v/>
      </c>
      <c r="G99" s="11" t="str">
        <f>IF(tbl_Jobs[[#This Row],[Customer_ID]]="","",_xlfn.XLOOKUP(tbl_Jobs[[#This Row],[Customer_ID]],tbl_Customers[Customer_ID],tbl_Customers[Default_Service],"Not matched"))</f>
        <v/>
      </c>
      <c r="H99" s="11" t="str">
        <f>IF(tbl_Jobs[[#This Row],[Customer_ID]]="","",_xlfn.XLOOKUP(tbl_Jobs[[#This Row],[Customer_ID]],tbl_Customers[Customer_ID],tbl_Customers[Special_Notes],""))</f>
        <v/>
      </c>
      <c r="I99" s="7"/>
      <c r="J99" s="7"/>
      <c r="K99" s="10"/>
      <c r="L99" s="7"/>
      <c r="M99" s="8" t="str">
        <f>IF(tbl_Jobs[[#This Row],[Customer_ID]]="","",_xlfn.XLOOKUP(tbl_Jobs[[#This Row],[Customer_ID]],tbl_Customers[Customer_ID],tbl_Customers[Standard_Rate],0))</f>
        <v/>
      </c>
      <c r="N99" s="1"/>
      <c r="O99" s="1"/>
      <c r="P99" s="1"/>
    </row>
    <row r="100" spans="1:16" ht="14.45" customHeight="1" x14ac:dyDescent="0.45">
      <c r="A100" s="1"/>
      <c r="B100" s="7"/>
      <c r="C100" s="20"/>
      <c r="D100" s="7"/>
      <c r="E100" s="9" t="str">
        <f>IF(tbl_Jobs[[#This Row],[Customer_ID]]="","",_xlfn.XLOOKUP(tbl_Jobs[[#This Row],[Customer_ID]],tbl_Customers[Customer_ID],tbl_Customers[Customer_Name],"Not matched"))</f>
        <v/>
      </c>
      <c r="F100" s="9" t="str">
        <f>IF(tbl_Jobs[[#This Row],[Customer_ID]]="","",_xlfn.XLOOKUP(tbl_Jobs[[#This Row],[Customer_ID]],tbl_Customers[Customer_ID],tbl_Customers[Service_Address],"Not matched"))</f>
        <v/>
      </c>
      <c r="G100" s="9" t="str">
        <f>IF(tbl_Jobs[[#This Row],[Customer_ID]]="","",_xlfn.XLOOKUP(tbl_Jobs[[#This Row],[Customer_ID]],tbl_Customers[Customer_ID],tbl_Customers[Default_Service],"Not matched"))</f>
        <v/>
      </c>
      <c r="H100" s="9" t="str">
        <f>IF(tbl_Jobs[[#This Row],[Customer_ID]]="","",_xlfn.XLOOKUP(tbl_Jobs[[#This Row],[Customer_ID]],tbl_Customers[Customer_ID],tbl_Customers[Special_Notes],""))</f>
        <v/>
      </c>
      <c r="I100" s="7"/>
      <c r="J100" s="7"/>
      <c r="K100" s="10"/>
      <c r="L100" s="7"/>
      <c r="M100" s="8" t="str">
        <f>IF(tbl_Jobs[[#This Row],[Customer_ID]]="","",_xlfn.XLOOKUP(tbl_Jobs[[#This Row],[Customer_ID]],tbl_Customers[Customer_ID],tbl_Customers[Standard_Rate],0))</f>
        <v/>
      </c>
      <c r="N100" s="1"/>
      <c r="O100" s="1"/>
      <c r="P100" s="1"/>
    </row>
    <row r="101" spans="1:16" ht="14.45" customHeight="1" x14ac:dyDescent="0.45">
      <c r="A101" s="1"/>
      <c r="B101" s="7"/>
      <c r="C101" s="20"/>
      <c r="D101" s="7"/>
      <c r="E101" s="11" t="str">
        <f>IF(tbl_Jobs[[#This Row],[Customer_ID]]="","",_xlfn.XLOOKUP(tbl_Jobs[[#This Row],[Customer_ID]],tbl_Customers[Customer_ID],tbl_Customers[Customer_Name],"Not matched"))</f>
        <v/>
      </c>
      <c r="F101" s="11" t="str">
        <f>IF(tbl_Jobs[[#This Row],[Customer_ID]]="","",_xlfn.XLOOKUP(tbl_Jobs[[#This Row],[Customer_ID]],tbl_Customers[Customer_ID],tbl_Customers[Service_Address],"Not matched"))</f>
        <v/>
      </c>
      <c r="G101" s="11" t="str">
        <f>IF(tbl_Jobs[[#This Row],[Customer_ID]]="","",_xlfn.XLOOKUP(tbl_Jobs[[#This Row],[Customer_ID]],tbl_Customers[Customer_ID],tbl_Customers[Default_Service],"Not matched"))</f>
        <v/>
      </c>
      <c r="H101" s="11" t="str">
        <f>IF(tbl_Jobs[[#This Row],[Customer_ID]]="","",_xlfn.XLOOKUP(tbl_Jobs[[#This Row],[Customer_ID]],tbl_Customers[Customer_ID],tbl_Customers[Special_Notes],""))</f>
        <v/>
      </c>
      <c r="I101" s="7"/>
      <c r="J101" s="7"/>
      <c r="K101" s="10"/>
      <c r="L101" s="7"/>
      <c r="M101" s="8" t="str">
        <f>IF(tbl_Jobs[[#This Row],[Customer_ID]]="","",_xlfn.XLOOKUP(tbl_Jobs[[#This Row],[Customer_ID]],tbl_Customers[Customer_ID],tbl_Customers[Standard_Rate],0))</f>
        <v/>
      </c>
      <c r="N101" s="1"/>
      <c r="O101" s="1"/>
      <c r="P101" s="1"/>
    </row>
    <row r="102" spans="1:16" ht="14.45" customHeight="1" x14ac:dyDescent="0.45">
      <c r="A102" s="1"/>
      <c r="B102" s="7"/>
      <c r="C102" s="20"/>
      <c r="D102" s="7"/>
      <c r="E102" s="9" t="str">
        <f>IF(tbl_Jobs[[#This Row],[Customer_ID]]="","",_xlfn.XLOOKUP(tbl_Jobs[[#This Row],[Customer_ID]],tbl_Customers[Customer_ID],tbl_Customers[Customer_Name],"Not matched"))</f>
        <v/>
      </c>
      <c r="F102" s="9" t="str">
        <f>IF(tbl_Jobs[[#This Row],[Customer_ID]]="","",_xlfn.XLOOKUP(tbl_Jobs[[#This Row],[Customer_ID]],tbl_Customers[Customer_ID],tbl_Customers[Service_Address],"Not matched"))</f>
        <v/>
      </c>
      <c r="G102" s="9" t="str">
        <f>IF(tbl_Jobs[[#This Row],[Customer_ID]]="","",_xlfn.XLOOKUP(tbl_Jobs[[#This Row],[Customer_ID]],tbl_Customers[Customer_ID],tbl_Customers[Default_Service],"Not matched"))</f>
        <v/>
      </c>
      <c r="H102" s="9" t="str">
        <f>IF(tbl_Jobs[[#This Row],[Customer_ID]]="","",_xlfn.XLOOKUP(tbl_Jobs[[#This Row],[Customer_ID]],tbl_Customers[Customer_ID],tbl_Customers[Special_Notes],""))</f>
        <v/>
      </c>
      <c r="I102" s="7"/>
      <c r="J102" s="7"/>
      <c r="K102" s="10"/>
      <c r="L102" s="7"/>
      <c r="M102" s="8" t="str">
        <f>IF(tbl_Jobs[[#This Row],[Customer_ID]]="","",_xlfn.XLOOKUP(tbl_Jobs[[#This Row],[Customer_ID]],tbl_Customers[Customer_ID],tbl_Customers[Standard_Rate],0))</f>
        <v/>
      </c>
      <c r="N102" s="1"/>
      <c r="O102" s="1"/>
      <c r="P102" s="1"/>
    </row>
    <row r="103" spans="1:16" ht="14.45" customHeight="1" x14ac:dyDescent="0.45">
      <c r="A103" s="1"/>
      <c r="B103" s="7"/>
      <c r="C103" s="20"/>
      <c r="D103" s="7"/>
      <c r="E103" s="11" t="str">
        <f>IF(tbl_Jobs[[#This Row],[Customer_ID]]="","",_xlfn.XLOOKUP(tbl_Jobs[[#This Row],[Customer_ID]],tbl_Customers[Customer_ID],tbl_Customers[Customer_Name],"Not matched"))</f>
        <v/>
      </c>
      <c r="F103" s="11" t="str">
        <f>IF(tbl_Jobs[[#This Row],[Customer_ID]]="","",_xlfn.XLOOKUP(tbl_Jobs[[#This Row],[Customer_ID]],tbl_Customers[Customer_ID],tbl_Customers[Service_Address],"Not matched"))</f>
        <v/>
      </c>
      <c r="G103" s="11" t="str">
        <f>IF(tbl_Jobs[[#This Row],[Customer_ID]]="","",_xlfn.XLOOKUP(tbl_Jobs[[#This Row],[Customer_ID]],tbl_Customers[Customer_ID],tbl_Customers[Default_Service],"Not matched"))</f>
        <v/>
      </c>
      <c r="H103" s="11" t="str">
        <f>IF(tbl_Jobs[[#This Row],[Customer_ID]]="","",_xlfn.XLOOKUP(tbl_Jobs[[#This Row],[Customer_ID]],tbl_Customers[Customer_ID],tbl_Customers[Special_Notes],""))</f>
        <v/>
      </c>
      <c r="I103" s="7"/>
      <c r="J103" s="7"/>
      <c r="K103" s="10"/>
      <c r="L103" s="7"/>
      <c r="M103" s="8" t="str">
        <f>IF(tbl_Jobs[[#This Row],[Customer_ID]]="","",_xlfn.XLOOKUP(tbl_Jobs[[#This Row],[Customer_ID]],tbl_Customers[Customer_ID],tbl_Customers[Standard_Rate],0))</f>
        <v/>
      </c>
      <c r="N103" s="1"/>
      <c r="O103" s="1"/>
      <c r="P103" s="1"/>
    </row>
    <row r="104" spans="1:16" ht="14.45" customHeight="1" x14ac:dyDescent="0.45">
      <c r="A104" s="1"/>
      <c r="B104" s="7"/>
      <c r="C104" s="20"/>
      <c r="D104" s="7"/>
      <c r="E104" s="9" t="str">
        <f>IF(tbl_Jobs[[#This Row],[Customer_ID]]="","",_xlfn.XLOOKUP(tbl_Jobs[[#This Row],[Customer_ID]],tbl_Customers[Customer_ID],tbl_Customers[Customer_Name],"Not matched"))</f>
        <v/>
      </c>
      <c r="F104" s="9" t="str">
        <f>IF(tbl_Jobs[[#This Row],[Customer_ID]]="","",_xlfn.XLOOKUP(tbl_Jobs[[#This Row],[Customer_ID]],tbl_Customers[Customer_ID],tbl_Customers[Service_Address],"Not matched"))</f>
        <v/>
      </c>
      <c r="G104" s="9" t="str">
        <f>IF(tbl_Jobs[[#This Row],[Customer_ID]]="","",_xlfn.XLOOKUP(tbl_Jobs[[#This Row],[Customer_ID]],tbl_Customers[Customer_ID],tbl_Customers[Default_Service],"Not matched"))</f>
        <v/>
      </c>
      <c r="H104" s="9" t="str">
        <f>IF(tbl_Jobs[[#This Row],[Customer_ID]]="","",_xlfn.XLOOKUP(tbl_Jobs[[#This Row],[Customer_ID]],tbl_Customers[Customer_ID],tbl_Customers[Special_Notes],""))</f>
        <v/>
      </c>
      <c r="I104" s="7"/>
      <c r="J104" s="7"/>
      <c r="K104" s="10"/>
      <c r="L104" s="7"/>
      <c r="M104" s="8" t="str">
        <f>IF(tbl_Jobs[[#This Row],[Customer_ID]]="","",_xlfn.XLOOKUP(tbl_Jobs[[#This Row],[Customer_ID]],tbl_Customers[Customer_ID],tbl_Customers[Standard_Rate],0))</f>
        <v/>
      </c>
      <c r="N104" s="1"/>
      <c r="O104" s="1"/>
      <c r="P104" s="1"/>
    </row>
    <row r="105" spans="1:16" ht="14.45" customHeight="1" x14ac:dyDescent="0.45">
      <c r="A105" s="1"/>
      <c r="B105" s="7"/>
      <c r="C105" s="20"/>
      <c r="D105" s="7"/>
      <c r="E105" s="11" t="str">
        <f>IF(tbl_Jobs[[#This Row],[Customer_ID]]="","",_xlfn.XLOOKUP(tbl_Jobs[[#This Row],[Customer_ID]],tbl_Customers[Customer_ID],tbl_Customers[Customer_Name],"Not matched"))</f>
        <v/>
      </c>
      <c r="F105" s="11" t="str">
        <f>IF(tbl_Jobs[[#This Row],[Customer_ID]]="","",_xlfn.XLOOKUP(tbl_Jobs[[#This Row],[Customer_ID]],tbl_Customers[Customer_ID],tbl_Customers[Service_Address],"Not matched"))</f>
        <v/>
      </c>
      <c r="G105" s="11" t="str">
        <f>IF(tbl_Jobs[[#This Row],[Customer_ID]]="","",_xlfn.XLOOKUP(tbl_Jobs[[#This Row],[Customer_ID]],tbl_Customers[Customer_ID],tbl_Customers[Default_Service],"Not matched"))</f>
        <v/>
      </c>
      <c r="H105" s="11" t="str">
        <f>IF(tbl_Jobs[[#This Row],[Customer_ID]]="","",_xlfn.XLOOKUP(tbl_Jobs[[#This Row],[Customer_ID]],tbl_Customers[Customer_ID],tbl_Customers[Special_Notes],""))</f>
        <v/>
      </c>
      <c r="I105" s="7"/>
      <c r="J105" s="7"/>
      <c r="K105" s="10"/>
      <c r="L105" s="7"/>
      <c r="M105" s="8" t="str">
        <f>IF(tbl_Jobs[[#This Row],[Customer_ID]]="","",_xlfn.XLOOKUP(tbl_Jobs[[#This Row],[Customer_ID]],tbl_Customers[Customer_ID],tbl_Customers[Standard_Rate],0))</f>
        <v/>
      </c>
      <c r="N105" s="1"/>
      <c r="O105" s="1"/>
      <c r="P105" s="1"/>
    </row>
    <row r="106" spans="1:16" ht="14.45" customHeight="1" x14ac:dyDescent="0.45">
      <c r="A106" s="1"/>
      <c r="B106" s="7"/>
      <c r="C106" s="20"/>
      <c r="D106" s="7"/>
      <c r="E106" s="9" t="str">
        <f>IF(tbl_Jobs[[#This Row],[Customer_ID]]="","",_xlfn.XLOOKUP(tbl_Jobs[[#This Row],[Customer_ID]],tbl_Customers[Customer_ID],tbl_Customers[Customer_Name],"Not matched"))</f>
        <v/>
      </c>
      <c r="F106" s="9" t="str">
        <f>IF(tbl_Jobs[[#This Row],[Customer_ID]]="","",_xlfn.XLOOKUP(tbl_Jobs[[#This Row],[Customer_ID]],tbl_Customers[Customer_ID],tbl_Customers[Service_Address],"Not matched"))</f>
        <v/>
      </c>
      <c r="G106" s="9" t="str">
        <f>IF(tbl_Jobs[[#This Row],[Customer_ID]]="","",_xlfn.XLOOKUP(tbl_Jobs[[#This Row],[Customer_ID]],tbl_Customers[Customer_ID],tbl_Customers[Default_Service],"Not matched"))</f>
        <v/>
      </c>
      <c r="H106" s="9" t="str">
        <f>IF(tbl_Jobs[[#This Row],[Customer_ID]]="","",_xlfn.XLOOKUP(tbl_Jobs[[#This Row],[Customer_ID]],tbl_Customers[Customer_ID],tbl_Customers[Special_Notes],""))</f>
        <v/>
      </c>
      <c r="I106" s="7"/>
      <c r="J106" s="7"/>
      <c r="K106" s="10"/>
      <c r="L106" s="7"/>
      <c r="M106" s="8" t="str">
        <f>IF(tbl_Jobs[[#This Row],[Customer_ID]]="","",_xlfn.XLOOKUP(tbl_Jobs[[#This Row],[Customer_ID]],tbl_Customers[Customer_ID],tbl_Customers[Standard_Rate],0))</f>
        <v/>
      </c>
      <c r="N106" s="1"/>
      <c r="O106" s="1"/>
      <c r="P106" s="1"/>
    </row>
    <row r="107" spans="1:16" ht="14.45" customHeight="1" x14ac:dyDescent="0.45">
      <c r="A107" s="1"/>
      <c r="B107" s="7"/>
      <c r="C107" s="20"/>
      <c r="D107" s="7"/>
      <c r="E107" s="11" t="str">
        <f>IF(tbl_Jobs[[#This Row],[Customer_ID]]="","",_xlfn.XLOOKUP(tbl_Jobs[[#This Row],[Customer_ID]],tbl_Customers[Customer_ID],tbl_Customers[Customer_Name],"Not matched"))</f>
        <v/>
      </c>
      <c r="F107" s="11" t="str">
        <f>IF(tbl_Jobs[[#This Row],[Customer_ID]]="","",_xlfn.XLOOKUP(tbl_Jobs[[#This Row],[Customer_ID]],tbl_Customers[Customer_ID],tbl_Customers[Service_Address],"Not matched"))</f>
        <v/>
      </c>
      <c r="G107" s="11" t="str">
        <f>IF(tbl_Jobs[[#This Row],[Customer_ID]]="","",_xlfn.XLOOKUP(tbl_Jobs[[#This Row],[Customer_ID]],tbl_Customers[Customer_ID],tbl_Customers[Default_Service],"Not matched"))</f>
        <v/>
      </c>
      <c r="H107" s="11" t="str">
        <f>IF(tbl_Jobs[[#This Row],[Customer_ID]]="","",_xlfn.XLOOKUP(tbl_Jobs[[#This Row],[Customer_ID]],tbl_Customers[Customer_ID],tbl_Customers[Special_Notes],""))</f>
        <v/>
      </c>
      <c r="I107" s="7"/>
      <c r="J107" s="7"/>
      <c r="K107" s="10"/>
      <c r="L107" s="7"/>
      <c r="M107" s="8" t="str">
        <f>IF(tbl_Jobs[[#This Row],[Customer_ID]]="","",_xlfn.XLOOKUP(tbl_Jobs[[#This Row],[Customer_ID]],tbl_Customers[Customer_ID],tbl_Customers[Standard_Rate],0))</f>
        <v/>
      </c>
      <c r="N107" s="1"/>
      <c r="O107" s="1"/>
      <c r="P107" s="1"/>
    </row>
    <row r="108" spans="1:16" ht="14.45" customHeight="1" x14ac:dyDescent="0.45">
      <c r="A108" s="1"/>
      <c r="B108" s="7"/>
      <c r="C108" s="20"/>
      <c r="D108" s="7"/>
      <c r="E108" s="9" t="str">
        <f>IF(tbl_Jobs[[#This Row],[Customer_ID]]="","",_xlfn.XLOOKUP(tbl_Jobs[[#This Row],[Customer_ID]],tbl_Customers[Customer_ID],tbl_Customers[Customer_Name],"Not matched"))</f>
        <v/>
      </c>
      <c r="F108" s="9" t="str">
        <f>IF(tbl_Jobs[[#This Row],[Customer_ID]]="","",_xlfn.XLOOKUP(tbl_Jobs[[#This Row],[Customer_ID]],tbl_Customers[Customer_ID],tbl_Customers[Service_Address],"Not matched"))</f>
        <v/>
      </c>
      <c r="G108" s="9" t="str">
        <f>IF(tbl_Jobs[[#This Row],[Customer_ID]]="","",_xlfn.XLOOKUP(tbl_Jobs[[#This Row],[Customer_ID]],tbl_Customers[Customer_ID],tbl_Customers[Default_Service],"Not matched"))</f>
        <v/>
      </c>
      <c r="H108" s="9" t="str">
        <f>IF(tbl_Jobs[[#This Row],[Customer_ID]]="","",_xlfn.XLOOKUP(tbl_Jobs[[#This Row],[Customer_ID]],tbl_Customers[Customer_ID],tbl_Customers[Special_Notes],""))</f>
        <v/>
      </c>
      <c r="I108" s="7"/>
      <c r="J108" s="7"/>
      <c r="K108" s="10"/>
      <c r="L108" s="7"/>
      <c r="M108" s="8" t="str">
        <f>IF(tbl_Jobs[[#This Row],[Customer_ID]]="","",_xlfn.XLOOKUP(tbl_Jobs[[#This Row],[Customer_ID]],tbl_Customers[Customer_ID],tbl_Customers[Standard_Rate],0))</f>
        <v/>
      </c>
      <c r="N108" s="1"/>
      <c r="O108" s="1"/>
      <c r="P108" s="1"/>
    </row>
    <row r="109" spans="1:16" ht="14.45" customHeight="1" x14ac:dyDescent="0.45">
      <c r="A109" s="1"/>
      <c r="B109" s="7"/>
      <c r="C109" s="20"/>
      <c r="D109" s="7"/>
      <c r="E109" s="11" t="str">
        <f>IF(tbl_Jobs[[#This Row],[Customer_ID]]="","",_xlfn.XLOOKUP(tbl_Jobs[[#This Row],[Customer_ID]],tbl_Customers[Customer_ID],tbl_Customers[Customer_Name],"Not matched"))</f>
        <v/>
      </c>
      <c r="F109" s="11" t="str">
        <f>IF(tbl_Jobs[[#This Row],[Customer_ID]]="","",_xlfn.XLOOKUP(tbl_Jobs[[#This Row],[Customer_ID]],tbl_Customers[Customer_ID],tbl_Customers[Service_Address],"Not matched"))</f>
        <v/>
      </c>
      <c r="G109" s="11" t="str">
        <f>IF(tbl_Jobs[[#This Row],[Customer_ID]]="","",_xlfn.XLOOKUP(tbl_Jobs[[#This Row],[Customer_ID]],tbl_Customers[Customer_ID],tbl_Customers[Default_Service],"Not matched"))</f>
        <v/>
      </c>
      <c r="H109" s="11" t="str">
        <f>IF(tbl_Jobs[[#This Row],[Customer_ID]]="","",_xlfn.XLOOKUP(tbl_Jobs[[#This Row],[Customer_ID]],tbl_Customers[Customer_ID],tbl_Customers[Special_Notes],""))</f>
        <v/>
      </c>
      <c r="I109" s="7"/>
      <c r="J109" s="7"/>
      <c r="K109" s="10"/>
      <c r="L109" s="7"/>
      <c r="M109" s="8" t="str">
        <f>IF(tbl_Jobs[[#This Row],[Customer_ID]]="","",_xlfn.XLOOKUP(tbl_Jobs[[#This Row],[Customer_ID]],tbl_Customers[Customer_ID],tbl_Customers[Standard_Rate],0))</f>
        <v/>
      </c>
      <c r="N109" s="1"/>
      <c r="O109" s="1"/>
      <c r="P109" s="1"/>
    </row>
    <row r="110" spans="1:16" ht="14.45" customHeight="1" x14ac:dyDescent="0.45">
      <c r="A110" s="1"/>
      <c r="B110" s="7"/>
      <c r="C110" s="20"/>
      <c r="D110" s="7"/>
      <c r="E110" s="9" t="str">
        <f>IF(tbl_Jobs[[#This Row],[Customer_ID]]="","",_xlfn.XLOOKUP(tbl_Jobs[[#This Row],[Customer_ID]],tbl_Customers[Customer_ID],tbl_Customers[Customer_Name],"Not matched"))</f>
        <v/>
      </c>
      <c r="F110" s="9" t="str">
        <f>IF(tbl_Jobs[[#This Row],[Customer_ID]]="","",_xlfn.XLOOKUP(tbl_Jobs[[#This Row],[Customer_ID]],tbl_Customers[Customer_ID],tbl_Customers[Service_Address],"Not matched"))</f>
        <v/>
      </c>
      <c r="G110" s="9" t="str">
        <f>IF(tbl_Jobs[[#This Row],[Customer_ID]]="","",_xlfn.XLOOKUP(tbl_Jobs[[#This Row],[Customer_ID]],tbl_Customers[Customer_ID],tbl_Customers[Default_Service],"Not matched"))</f>
        <v/>
      </c>
      <c r="H110" s="9" t="str">
        <f>IF(tbl_Jobs[[#This Row],[Customer_ID]]="","",_xlfn.XLOOKUP(tbl_Jobs[[#This Row],[Customer_ID]],tbl_Customers[Customer_ID],tbl_Customers[Special_Notes],""))</f>
        <v/>
      </c>
      <c r="I110" s="7"/>
      <c r="J110" s="7"/>
      <c r="K110" s="10"/>
      <c r="L110" s="7"/>
      <c r="M110" s="8" t="str">
        <f>IF(tbl_Jobs[[#This Row],[Customer_ID]]="","",_xlfn.XLOOKUP(tbl_Jobs[[#This Row],[Customer_ID]],tbl_Customers[Customer_ID],tbl_Customers[Standard_Rate],0))</f>
        <v/>
      </c>
      <c r="N110" s="1"/>
      <c r="O110" s="1"/>
      <c r="P110" s="1"/>
    </row>
    <row r="111" spans="1:16" ht="14.45" customHeight="1" x14ac:dyDescent="0.45">
      <c r="A111" s="1"/>
      <c r="B111" s="7"/>
      <c r="C111" s="20"/>
      <c r="D111" s="7"/>
      <c r="E111" s="11" t="str">
        <f>IF(tbl_Jobs[[#This Row],[Customer_ID]]="","",_xlfn.XLOOKUP(tbl_Jobs[[#This Row],[Customer_ID]],tbl_Customers[Customer_ID],tbl_Customers[Customer_Name],"Not matched"))</f>
        <v/>
      </c>
      <c r="F111" s="11" t="str">
        <f>IF(tbl_Jobs[[#This Row],[Customer_ID]]="","",_xlfn.XLOOKUP(tbl_Jobs[[#This Row],[Customer_ID]],tbl_Customers[Customer_ID],tbl_Customers[Service_Address],"Not matched"))</f>
        <v/>
      </c>
      <c r="G111" s="11" t="str">
        <f>IF(tbl_Jobs[[#This Row],[Customer_ID]]="","",_xlfn.XLOOKUP(tbl_Jobs[[#This Row],[Customer_ID]],tbl_Customers[Customer_ID],tbl_Customers[Default_Service],"Not matched"))</f>
        <v/>
      </c>
      <c r="H111" s="11" t="str">
        <f>IF(tbl_Jobs[[#This Row],[Customer_ID]]="","",_xlfn.XLOOKUP(tbl_Jobs[[#This Row],[Customer_ID]],tbl_Customers[Customer_ID],tbl_Customers[Special_Notes],""))</f>
        <v/>
      </c>
      <c r="I111" s="7"/>
      <c r="J111" s="7"/>
      <c r="K111" s="10"/>
      <c r="L111" s="7"/>
      <c r="M111" s="8" t="str">
        <f>IF(tbl_Jobs[[#This Row],[Customer_ID]]="","",_xlfn.XLOOKUP(tbl_Jobs[[#This Row],[Customer_ID]],tbl_Customers[Customer_ID],tbl_Customers[Standard_Rate],0))</f>
        <v/>
      </c>
      <c r="N111" s="1"/>
      <c r="O111" s="1"/>
      <c r="P111" s="1"/>
    </row>
    <row r="112" spans="1:16" ht="14.45" customHeight="1" x14ac:dyDescent="0.45">
      <c r="A112" s="1"/>
      <c r="B112" s="7"/>
      <c r="C112" s="20"/>
      <c r="D112" s="7"/>
      <c r="E112" s="9" t="str">
        <f>IF(tbl_Jobs[[#This Row],[Customer_ID]]="","",_xlfn.XLOOKUP(tbl_Jobs[[#This Row],[Customer_ID]],tbl_Customers[Customer_ID],tbl_Customers[Customer_Name],"Not matched"))</f>
        <v/>
      </c>
      <c r="F112" s="9" t="str">
        <f>IF(tbl_Jobs[[#This Row],[Customer_ID]]="","",_xlfn.XLOOKUP(tbl_Jobs[[#This Row],[Customer_ID]],tbl_Customers[Customer_ID],tbl_Customers[Service_Address],"Not matched"))</f>
        <v/>
      </c>
      <c r="G112" s="9" t="str">
        <f>IF(tbl_Jobs[[#This Row],[Customer_ID]]="","",_xlfn.XLOOKUP(tbl_Jobs[[#This Row],[Customer_ID]],tbl_Customers[Customer_ID],tbl_Customers[Default_Service],"Not matched"))</f>
        <v/>
      </c>
      <c r="H112" s="9" t="str">
        <f>IF(tbl_Jobs[[#This Row],[Customer_ID]]="","",_xlfn.XLOOKUP(tbl_Jobs[[#This Row],[Customer_ID]],tbl_Customers[Customer_ID],tbl_Customers[Special_Notes],""))</f>
        <v/>
      </c>
      <c r="I112" s="7"/>
      <c r="J112" s="7"/>
      <c r="K112" s="10"/>
      <c r="L112" s="7"/>
      <c r="M112" s="8" t="str">
        <f>IF(tbl_Jobs[[#This Row],[Customer_ID]]="","",_xlfn.XLOOKUP(tbl_Jobs[[#This Row],[Customer_ID]],tbl_Customers[Customer_ID],tbl_Customers[Standard_Rate],0))</f>
        <v/>
      </c>
      <c r="N112" s="1"/>
      <c r="O112" s="1"/>
      <c r="P112" s="1"/>
    </row>
    <row r="113" spans="1:16" ht="14.45" customHeight="1" x14ac:dyDescent="0.45">
      <c r="A113" s="1"/>
      <c r="B113" s="7"/>
      <c r="C113" s="20"/>
      <c r="D113" s="7"/>
      <c r="E113" s="11" t="str">
        <f>IF(tbl_Jobs[[#This Row],[Customer_ID]]="","",_xlfn.XLOOKUP(tbl_Jobs[[#This Row],[Customer_ID]],tbl_Customers[Customer_ID],tbl_Customers[Customer_Name],"Not matched"))</f>
        <v/>
      </c>
      <c r="F113" s="11" t="str">
        <f>IF(tbl_Jobs[[#This Row],[Customer_ID]]="","",_xlfn.XLOOKUP(tbl_Jobs[[#This Row],[Customer_ID]],tbl_Customers[Customer_ID],tbl_Customers[Service_Address],"Not matched"))</f>
        <v/>
      </c>
      <c r="G113" s="11" t="str">
        <f>IF(tbl_Jobs[[#This Row],[Customer_ID]]="","",_xlfn.XLOOKUP(tbl_Jobs[[#This Row],[Customer_ID]],tbl_Customers[Customer_ID],tbl_Customers[Default_Service],"Not matched"))</f>
        <v/>
      </c>
      <c r="H113" s="11" t="str">
        <f>IF(tbl_Jobs[[#This Row],[Customer_ID]]="","",_xlfn.XLOOKUP(tbl_Jobs[[#This Row],[Customer_ID]],tbl_Customers[Customer_ID],tbl_Customers[Special_Notes],""))</f>
        <v/>
      </c>
      <c r="I113" s="7"/>
      <c r="J113" s="7"/>
      <c r="K113" s="10"/>
      <c r="L113" s="7"/>
      <c r="M113" s="8" t="str">
        <f>IF(tbl_Jobs[[#This Row],[Customer_ID]]="","",_xlfn.XLOOKUP(tbl_Jobs[[#This Row],[Customer_ID]],tbl_Customers[Customer_ID],tbl_Customers[Standard_Rate],0))</f>
        <v/>
      </c>
      <c r="N113" s="1"/>
      <c r="O113" s="1"/>
      <c r="P113" s="1"/>
    </row>
    <row r="114" spans="1:16" ht="14.45" customHeight="1" x14ac:dyDescent="0.45">
      <c r="A114" s="1"/>
      <c r="B114" s="7"/>
      <c r="C114" s="20"/>
      <c r="D114" s="7"/>
      <c r="E114" s="9" t="str">
        <f>IF(tbl_Jobs[[#This Row],[Customer_ID]]="","",_xlfn.XLOOKUP(tbl_Jobs[[#This Row],[Customer_ID]],tbl_Customers[Customer_ID],tbl_Customers[Customer_Name],"Not matched"))</f>
        <v/>
      </c>
      <c r="F114" s="9" t="str">
        <f>IF(tbl_Jobs[[#This Row],[Customer_ID]]="","",_xlfn.XLOOKUP(tbl_Jobs[[#This Row],[Customer_ID]],tbl_Customers[Customer_ID],tbl_Customers[Service_Address],"Not matched"))</f>
        <v/>
      </c>
      <c r="G114" s="9" t="str">
        <f>IF(tbl_Jobs[[#This Row],[Customer_ID]]="","",_xlfn.XLOOKUP(tbl_Jobs[[#This Row],[Customer_ID]],tbl_Customers[Customer_ID],tbl_Customers[Default_Service],"Not matched"))</f>
        <v/>
      </c>
      <c r="H114" s="9" t="str">
        <f>IF(tbl_Jobs[[#This Row],[Customer_ID]]="","",_xlfn.XLOOKUP(tbl_Jobs[[#This Row],[Customer_ID]],tbl_Customers[Customer_ID],tbl_Customers[Special_Notes],""))</f>
        <v/>
      </c>
      <c r="I114" s="7"/>
      <c r="J114" s="7"/>
      <c r="K114" s="10"/>
      <c r="L114" s="7"/>
      <c r="M114" s="8" t="str">
        <f>IF(tbl_Jobs[[#This Row],[Customer_ID]]="","",_xlfn.XLOOKUP(tbl_Jobs[[#This Row],[Customer_ID]],tbl_Customers[Customer_ID],tbl_Customers[Standard_Rate],0))</f>
        <v/>
      </c>
      <c r="N114" s="1"/>
      <c r="O114" s="1"/>
      <c r="P114" s="1"/>
    </row>
    <row r="115" spans="1:16" ht="14.45" customHeight="1" x14ac:dyDescent="0.45">
      <c r="A115" s="1"/>
      <c r="B115" s="7"/>
      <c r="C115" s="20"/>
      <c r="D115" s="7"/>
      <c r="E115" s="11" t="str">
        <f>IF(tbl_Jobs[[#This Row],[Customer_ID]]="","",_xlfn.XLOOKUP(tbl_Jobs[[#This Row],[Customer_ID]],tbl_Customers[Customer_ID],tbl_Customers[Customer_Name],"Not matched"))</f>
        <v/>
      </c>
      <c r="F115" s="11" t="str">
        <f>IF(tbl_Jobs[[#This Row],[Customer_ID]]="","",_xlfn.XLOOKUP(tbl_Jobs[[#This Row],[Customer_ID]],tbl_Customers[Customer_ID],tbl_Customers[Service_Address],"Not matched"))</f>
        <v/>
      </c>
      <c r="G115" s="11" t="str">
        <f>IF(tbl_Jobs[[#This Row],[Customer_ID]]="","",_xlfn.XLOOKUP(tbl_Jobs[[#This Row],[Customer_ID]],tbl_Customers[Customer_ID],tbl_Customers[Default_Service],"Not matched"))</f>
        <v/>
      </c>
      <c r="H115" s="11" t="str">
        <f>IF(tbl_Jobs[[#This Row],[Customer_ID]]="","",_xlfn.XLOOKUP(tbl_Jobs[[#This Row],[Customer_ID]],tbl_Customers[Customer_ID],tbl_Customers[Special_Notes],""))</f>
        <v/>
      </c>
      <c r="I115" s="7"/>
      <c r="J115" s="7"/>
      <c r="K115" s="10"/>
      <c r="L115" s="7"/>
      <c r="M115" s="8" t="str">
        <f>IF(tbl_Jobs[[#This Row],[Customer_ID]]="","",_xlfn.XLOOKUP(tbl_Jobs[[#This Row],[Customer_ID]],tbl_Customers[Customer_ID],tbl_Customers[Standard_Rate],0))</f>
        <v/>
      </c>
      <c r="N115" s="1"/>
      <c r="O115" s="1"/>
      <c r="P115" s="1"/>
    </row>
    <row r="116" spans="1:16" ht="14.45" customHeight="1" x14ac:dyDescent="0.45">
      <c r="A116" s="1"/>
      <c r="B116" s="7"/>
      <c r="C116" s="20"/>
      <c r="D116" s="7"/>
      <c r="E116" s="9" t="str">
        <f>IF(tbl_Jobs[[#This Row],[Customer_ID]]="","",_xlfn.XLOOKUP(tbl_Jobs[[#This Row],[Customer_ID]],tbl_Customers[Customer_ID],tbl_Customers[Customer_Name],"Not matched"))</f>
        <v/>
      </c>
      <c r="F116" s="9" t="str">
        <f>IF(tbl_Jobs[[#This Row],[Customer_ID]]="","",_xlfn.XLOOKUP(tbl_Jobs[[#This Row],[Customer_ID]],tbl_Customers[Customer_ID],tbl_Customers[Service_Address],"Not matched"))</f>
        <v/>
      </c>
      <c r="G116" s="9" t="str">
        <f>IF(tbl_Jobs[[#This Row],[Customer_ID]]="","",_xlfn.XLOOKUP(tbl_Jobs[[#This Row],[Customer_ID]],tbl_Customers[Customer_ID],tbl_Customers[Default_Service],"Not matched"))</f>
        <v/>
      </c>
      <c r="H116" s="9" t="str">
        <f>IF(tbl_Jobs[[#This Row],[Customer_ID]]="","",_xlfn.XLOOKUP(tbl_Jobs[[#This Row],[Customer_ID]],tbl_Customers[Customer_ID],tbl_Customers[Special_Notes],""))</f>
        <v/>
      </c>
      <c r="I116" s="7"/>
      <c r="J116" s="7"/>
      <c r="K116" s="10"/>
      <c r="L116" s="7"/>
      <c r="M116" s="8" t="str">
        <f>IF(tbl_Jobs[[#This Row],[Customer_ID]]="","",_xlfn.XLOOKUP(tbl_Jobs[[#This Row],[Customer_ID]],tbl_Customers[Customer_ID],tbl_Customers[Standard_Rate],0))</f>
        <v/>
      </c>
      <c r="N116" s="1"/>
      <c r="O116" s="1"/>
      <c r="P116" s="1"/>
    </row>
    <row r="117" spans="1:16" ht="14.45" customHeight="1" x14ac:dyDescent="0.45">
      <c r="A117" s="1"/>
      <c r="B117" s="7"/>
      <c r="C117" s="20"/>
      <c r="D117" s="7"/>
      <c r="E117" s="11" t="str">
        <f>IF(tbl_Jobs[[#This Row],[Customer_ID]]="","",_xlfn.XLOOKUP(tbl_Jobs[[#This Row],[Customer_ID]],tbl_Customers[Customer_ID],tbl_Customers[Customer_Name],"Not matched"))</f>
        <v/>
      </c>
      <c r="F117" s="11" t="str">
        <f>IF(tbl_Jobs[[#This Row],[Customer_ID]]="","",_xlfn.XLOOKUP(tbl_Jobs[[#This Row],[Customer_ID]],tbl_Customers[Customer_ID],tbl_Customers[Service_Address],"Not matched"))</f>
        <v/>
      </c>
      <c r="G117" s="11" t="str">
        <f>IF(tbl_Jobs[[#This Row],[Customer_ID]]="","",_xlfn.XLOOKUP(tbl_Jobs[[#This Row],[Customer_ID]],tbl_Customers[Customer_ID],tbl_Customers[Default_Service],"Not matched"))</f>
        <v/>
      </c>
      <c r="H117" s="11" t="str">
        <f>IF(tbl_Jobs[[#This Row],[Customer_ID]]="","",_xlfn.XLOOKUP(tbl_Jobs[[#This Row],[Customer_ID]],tbl_Customers[Customer_ID],tbl_Customers[Special_Notes],""))</f>
        <v/>
      </c>
      <c r="I117" s="7"/>
      <c r="J117" s="7"/>
      <c r="K117" s="10"/>
      <c r="L117" s="7"/>
      <c r="M117" s="8" t="str">
        <f>IF(tbl_Jobs[[#This Row],[Customer_ID]]="","",_xlfn.XLOOKUP(tbl_Jobs[[#This Row],[Customer_ID]],tbl_Customers[Customer_ID],tbl_Customers[Standard_Rate],0))</f>
        <v/>
      </c>
      <c r="N117" s="1"/>
      <c r="O117" s="1"/>
      <c r="P117" s="1"/>
    </row>
    <row r="118" spans="1:16" ht="14.45" customHeight="1" x14ac:dyDescent="0.45">
      <c r="A118" s="1"/>
      <c r="B118" s="7"/>
      <c r="C118" s="20"/>
      <c r="D118" s="7"/>
      <c r="E118" s="9" t="str">
        <f>IF(tbl_Jobs[[#This Row],[Customer_ID]]="","",_xlfn.XLOOKUP(tbl_Jobs[[#This Row],[Customer_ID]],tbl_Customers[Customer_ID],tbl_Customers[Customer_Name],"Not matched"))</f>
        <v/>
      </c>
      <c r="F118" s="9" t="str">
        <f>IF(tbl_Jobs[[#This Row],[Customer_ID]]="","",_xlfn.XLOOKUP(tbl_Jobs[[#This Row],[Customer_ID]],tbl_Customers[Customer_ID],tbl_Customers[Service_Address],"Not matched"))</f>
        <v/>
      </c>
      <c r="G118" s="9" t="str">
        <f>IF(tbl_Jobs[[#This Row],[Customer_ID]]="","",_xlfn.XLOOKUP(tbl_Jobs[[#This Row],[Customer_ID]],tbl_Customers[Customer_ID],tbl_Customers[Default_Service],"Not matched"))</f>
        <v/>
      </c>
      <c r="H118" s="9" t="str">
        <f>IF(tbl_Jobs[[#This Row],[Customer_ID]]="","",_xlfn.XLOOKUP(tbl_Jobs[[#This Row],[Customer_ID]],tbl_Customers[Customer_ID],tbl_Customers[Special_Notes],""))</f>
        <v/>
      </c>
      <c r="I118" s="7"/>
      <c r="J118" s="7"/>
      <c r="K118" s="10"/>
      <c r="L118" s="7"/>
      <c r="M118" s="8" t="str">
        <f>IF(tbl_Jobs[[#This Row],[Customer_ID]]="","",_xlfn.XLOOKUP(tbl_Jobs[[#This Row],[Customer_ID]],tbl_Customers[Customer_ID],tbl_Customers[Standard_Rate],0))</f>
        <v/>
      </c>
      <c r="N118" s="1"/>
      <c r="O118" s="1"/>
      <c r="P118" s="1"/>
    </row>
    <row r="119" spans="1:16" ht="14.45" customHeight="1" x14ac:dyDescent="0.45">
      <c r="A119" s="1"/>
      <c r="B119" s="7"/>
      <c r="C119" s="20"/>
      <c r="D119" s="7"/>
      <c r="E119" s="11" t="str">
        <f>IF(tbl_Jobs[[#This Row],[Customer_ID]]="","",_xlfn.XLOOKUP(tbl_Jobs[[#This Row],[Customer_ID]],tbl_Customers[Customer_ID],tbl_Customers[Customer_Name],"Not matched"))</f>
        <v/>
      </c>
      <c r="F119" s="11" t="str">
        <f>IF(tbl_Jobs[[#This Row],[Customer_ID]]="","",_xlfn.XLOOKUP(tbl_Jobs[[#This Row],[Customer_ID]],tbl_Customers[Customer_ID],tbl_Customers[Service_Address],"Not matched"))</f>
        <v/>
      </c>
      <c r="G119" s="11" t="str">
        <f>IF(tbl_Jobs[[#This Row],[Customer_ID]]="","",_xlfn.XLOOKUP(tbl_Jobs[[#This Row],[Customer_ID]],tbl_Customers[Customer_ID],tbl_Customers[Default_Service],"Not matched"))</f>
        <v/>
      </c>
      <c r="H119" s="11" t="str">
        <f>IF(tbl_Jobs[[#This Row],[Customer_ID]]="","",_xlfn.XLOOKUP(tbl_Jobs[[#This Row],[Customer_ID]],tbl_Customers[Customer_ID],tbl_Customers[Special_Notes],""))</f>
        <v/>
      </c>
      <c r="I119" s="7"/>
      <c r="J119" s="7"/>
      <c r="K119" s="10"/>
      <c r="L119" s="7"/>
      <c r="M119" s="8" t="str">
        <f>IF(tbl_Jobs[[#This Row],[Customer_ID]]="","",_xlfn.XLOOKUP(tbl_Jobs[[#This Row],[Customer_ID]],tbl_Customers[Customer_ID],tbl_Customers[Standard_Rate],0))</f>
        <v/>
      </c>
      <c r="N119" s="1"/>
      <c r="O119" s="1"/>
      <c r="P119" s="1"/>
    </row>
    <row r="120" spans="1:16" ht="14.45" customHeight="1" x14ac:dyDescent="0.45">
      <c r="A120" s="1"/>
      <c r="B120" s="7"/>
      <c r="C120" s="20"/>
      <c r="D120" s="7"/>
      <c r="E120" s="9" t="str">
        <f>IF(tbl_Jobs[[#This Row],[Customer_ID]]="","",_xlfn.XLOOKUP(tbl_Jobs[[#This Row],[Customer_ID]],tbl_Customers[Customer_ID],tbl_Customers[Customer_Name],"Not matched"))</f>
        <v/>
      </c>
      <c r="F120" s="9" t="str">
        <f>IF(tbl_Jobs[[#This Row],[Customer_ID]]="","",_xlfn.XLOOKUP(tbl_Jobs[[#This Row],[Customer_ID]],tbl_Customers[Customer_ID],tbl_Customers[Service_Address],"Not matched"))</f>
        <v/>
      </c>
      <c r="G120" s="9" t="str">
        <f>IF(tbl_Jobs[[#This Row],[Customer_ID]]="","",_xlfn.XLOOKUP(tbl_Jobs[[#This Row],[Customer_ID]],tbl_Customers[Customer_ID],tbl_Customers[Default_Service],"Not matched"))</f>
        <v/>
      </c>
      <c r="H120" s="9" t="str">
        <f>IF(tbl_Jobs[[#This Row],[Customer_ID]]="","",_xlfn.XLOOKUP(tbl_Jobs[[#This Row],[Customer_ID]],tbl_Customers[Customer_ID],tbl_Customers[Special_Notes],""))</f>
        <v/>
      </c>
      <c r="I120" s="7"/>
      <c r="J120" s="7"/>
      <c r="K120" s="10"/>
      <c r="L120" s="7"/>
      <c r="M120" s="8" t="str">
        <f>IF(tbl_Jobs[[#This Row],[Customer_ID]]="","",_xlfn.XLOOKUP(tbl_Jobs[[#This Row],[Customer_ID]],tbl_Customers[Customer_ID],tbl_Customers[Standard_Rate],0))</f>
        <v/>
      </c>
      <c r="N120" s="1"/>
      <c r="O120" s="1"/>
      <c r="P120" s="1"/>
    </row>
    <row r="121" spans="1:16" ht="14.45" customHeight="1" x14ac:dyDescent="0.45">
      <c r="A121" s="1"/>
      <c r="B121" s="7"/>
      <c r="C121" s="20"/>
      <c r="D121" s="7"/>
      <c r="E121" s="11" t="str">
        <f>IF(tbl_Jobs[[#This Row],[Customer_ID]]="","",_xlfn.XLOOKUP(tbl_Jobs[[#This Row],[Customer_ID]],tbl_Customers[Customer_ID],tbl_Customers[Customer_Name],"Not matched"))</f>
        <v/>
      </c>
      <c r="F121" s="11" t="str">
        <f>IF(tbl_Jobs[[#This Row],[Customer_ID]]="","",_xlfn.XLOOKUP(tbl_Jobs[[#This Row],[Customer_ID]],tbl_Customers[Customer_ID],tbl_Customers[Service_Address],"Not matched"))</f>
        <v/>
      </c>
      <c r="G121" s="11" t="str">
        <f>IF(tbl_Jobs[[#This Row],[Customer_ID]]="","",_xlfn.XLOOKUP(tbl_Jobs[[#This Row],[Customer_ID]],tbl_Customers[Customer_ID],tbl_Customers[Default_Service],"Not matched"))</f>
        <v/>
      </c>
      <c r="H121" s="11" t="str">
        <f>IF(tbl_Jobs[[#This Row],[Customer_ID]]="","",_xlfn.XLOOKUP(tbl_Jobs[[#This Row],[Customer_ID]],tbl_Customers[Customer_ID],tbl_Customers[Special_Notes],""))</f>
        <v/>
      </c>
      <c r="I121" s="7"/>
      <c r="J121" s="7"/>
      <c r="K121" s="10"/>
      <c r="L121" s="7"/>
      <c r="M121" s="8" t="str">
        <f>IF(tbl_Jobs[[#This Row],[Customer_ID]]="","",_xlfn.XLOOKUP(tbl_Jobs[[#This Row],[Customer_ID]],tbl_Customers[Customer_ID],tbl_Customers[Standard_Rate],0))</f>
        <v/>
      </c>
      <c r="N121" s="1"/>
      <c r="O121" s="1"/>
      <c r="P121" s="1"/>
    </row>
    <row r="122" spans="1:16" ht="14.45" customHeight="1" x14ac:dyDescent="0.45">
      <c r="A122" s="1"/>
      <c r="B122" s="7"/>
      <c r="C122" s="20"/>
      <c r="D122" s="7"/>
      <c r="E122" s="9" t="str">
        <f>IF(tbl_Jobs[[#This Row],[Customer_ID]]="","",_xlfn.XLOOKUP(tbl_Jobs[[#This Row],[Customer_ID]],tbl_Customers[Customer_ID],tbl_Customers[Customer_Name],"Not matched"))</f>
        <v/>
      </c>
      <c r="F122" s="9" t="str">
        <f>IF(tbl_Jobs[[#This Row],[Customer_ID]]="","",_xlfn.XLOOKUP(tbl_Jobs[[#This Row],[Customer_ID]],tbl_Customers[Customer_ID],tbl_Customers[Service_Address],"Not matched"))</f>
        <v/>
      </c>
      <c r="G122" s="9" t="str">
        <f>IF(tbl_Jobs[[#This Row],[Customer_ID]]="","",_xlfn.XLOOKUP(tbl_Jobs[[#This Row],[Customer_ID]],tbl_Customers[Customer_ID],tbl_Customers[Default_Service],"Not matched"))</f>
        <v/>
      </c>
      <c r="H122" s="9" t="str">
        <f>IF(tbl_Jobs[[#This Row],[Customer_ID]]="","",_xlfn.XLOOKUP(tbl_Jobs[[#This Row],[Customer_ID]],tbl_Customers[Customer_ID],tbl_Customers[Special_Notes],""))</f>
        <v/>
      </c>
      <c r="I122" s="7"/>
      <c r="J122" s="7"/>
      <c r="K122" s="10"/>
      <c r="L122" s="7"/>
      <c r="M122" s="8" t="str">
        <f>IF(tbl_Jobs[[#This Row],[Customer_ID]]="","",_xlfn.XLOOKUP(tbl_Jobs[[#This Row],[Customer_ID]],tbl_Customers[Customer_ID],tbl_Customers[Standard_Rate],0))</f>
        <v/>
      </c>
      <c r="N122" s="1"/>
      <c r="O122" s="1"/>
      <c r="P122" s="1"/>
    </row>
    <row r="123" spans="1:16" ht="14.45" customHeight="1" x14ac:dyDescent="0.45">
      <c r="A123" s="1"/>
      <c r="B123" s="7"/>
      <c r="C123" s="20"/>
      <c r="D123" s="7"/>
      <c r="E123" s="11" t="str">
        <f>IF(tbl_Jobs[[#This Row],[Customer_ID]]="","",_xlfn.XLOOKUP(tbl_Jobs[[#This Row],[Customer_ID]],tbl_Customers[Customer_ID],tbl_Customers[Customer_Name],"Not matched"))</f>
        <v/>
      </c>
      <c r="F123" s="11" t="str">
        <f>IF(tbl_Jobs[[#This Row],[Customer_ID]]="","",_xlfn.XLOOKUP(tbl_Jobs[[#This Row],[Customer_ID]],tbl_Customers[Customer_ID],tbl_Customers[Service_Address],"Not matched"))</f>
        <v/>
      </c>
      <c r="G123" s="11" t="str">
        <f>IF(tbl_Jobs[[#This Row],[Customer_ID]]="","",_xlfn.XLOOKUP(tbl_Jobs[[#This Row],[Customer_ID]],tbl_Customers[Customer_ID],tbl_Customers[Default_Service],"Not matched"))</f>
        <v/>
      </c>
      <c r="H123" s="11" t="str">
        <f>IF(tbl_Jobs[[#This Row],[Customer_ID]]="","",_xlfn.XLOOKUP(tbl_Jobs[[#This Row],[Customer_ID]],tbl_Customers[Customer_ID],tbl_Customers[Special_Notes],""))</f>
        <v/>
      </c>
      <c r="I123" s="7"/>
      <c r="J123" s="7"/>
      <c r="K123" s="10"/>
      <c r="L123" s="7"/>
      <c r="M123" s="8" t="str">
        <f>IF(tbl_Jobs[[#This Row],[Customer_ID]]="","",_xlfn.XLOOKUP(tbl_Jobs[[#This Row],[Customer_ID]],tbl_Customers[Customer_ID],tbl_Customers[Standard_Rate],0))</f>
        <v/>
      </c>
      <c r="N123" s="1"/>
      <c r="O123" s="1"/>
      <c r="P123" s="1"/>
    </row>
    <row r="124" spans="1:16" ht="14.45" customHeight="1" x14ac:dyDescent="0.45">
      <c r="A124" s="1"/>
      <c r="B124" s="7"/>
      <c r="C124" s="20"/>
      <c r="D124" s="7"/>
      <c r="E124" s="9" t="str">
        <f>IF(tbl_Jobs[[#This Row],[Customer_ID]]="","",_xlfn.XLOOKUP(tbl_Jobs[[#This Row],[Customer_ID]],tbl_Customers[Customer_ID],tbl_Customers[Customer_Name],"Not matched"))</f>
        <v/>
      </c>
      <c r="F124" s="9" t="str">
        <f>IF(tbl_Jobs[[#This Row],[Customer_ID]]="","",_xlfn.XLOOKUP(tbl_Jobs[[#This Row],[Customer_ID]],tbl_Customers[Customer_ID],tbl_Customers[Service_Address],"Not matched"))</f>
        <v/>
      </c>
      <c r="G124" s="9" t="str">
        <f>IF(tbl_Jobs[[#This Row],[Customer_ID]]="","",_xlfn.XLOOKUP(tbl_Jobs[[#This Row],[Customer_ID]],tbl_Customers[Customer_ID],tbl_Customers[Default_Service],"Not matched"))</f>
        <v/>
      </c>
      <c r="H124" s="9" t="str">
        <f>IF(tbl_Jobs[[#This Row],[Customer_ID]]="","",_xlfn.XLOOKUP(tbl_Jobs[[#This Row],[Customer_ID]],tbl_Customers[Customer_ID],tbl_Customers[Special_Notes],""))</f>
        <v/>
      </c>
      <c r="I124" s="7"/>
      <c r="J124" s="7"/>
      <c r="K124" s="10"/>
      <c r="L124" s="7"/>
      <c r="M124" s="8" t="str">
        <f>IF(tbl_Jobs[[#This Row],[Customer_ID]]="","",_xlfn.XLOOKUP(tbl_Jobs[[#This Row],[Customer_ID]],tbl_Customers[Customer_ID],tbl_Customers[Standard_Rate],0))</f>
        <v/>
      </c>
      <c r="N124" s="1"/>
      <c r="O124" s="1"/>
      <c r="P124" s="1"/>
    </row>
    <row r="125" spans="1:16" ht="14.45" customHeight="1" x14ac:dyDescent="0.45">
      <c r="A125" s="1"/>
      <c r="B125" s="7"/>
      <c r="C125" s="20"/>
      <c r="D125" s="7"/>
      <c r="E125" s="11" t="str">
        <f>IF(tbl_Jobs[[#This Row],[Customer_ID]]="","",_xlfn.XLOOKUP(tbl_Jobs[[#This Row],[Customer_ID]],tbl_Customers[Customer_ID],tbl_Customers[Customer_Name],"Not matched"))</f>
        <v/>
      </c>
      <c r="F125" s="11" t="str">
        <f>IF(tbl_Jobs[[#This Row],[Customer_ID]]="","",_xlfn.XLOOKUP(tbl_Jobs[[#This Row],[Customer_ID]],tbl_Customers[Customer_ID],tbl_Customers[Service_Address],"Not matched"))</f>
        <v/>
      </c>
      <c r="G125" s="11" t="str">
        <f>IF(tbl_Jobs[[#This Row],[Customer_ID]]="","",_xlfn.XLOOKUP(tbl_Jobs[[#This Row],[Customer_ID]],tbl_Customers[Customer_ID],tbl_Customers[Default_Service],"Not matched"))</f>
        <v/>
      </c>
      <c r="H125" s="11" t="str">
        <f>IF(tbl_Jobs[[#This Row],[Customer_ID]]="","",_xlfn.XLOOKUP(tbl_Jobs[[#This Row],[Customer_ID]],tbl_Customers[Customer_ID],tbl_Customers[Special_Notes],""))</f>
        <v/>
      </c>
      <c r="I125" s="7"/>
      <c r="J125" s="7"/>
      <c r="K125" s="10"/>
      <c r="L125" s="7"/>
      <c r="M125" s="8" t="str">
        <f>IF(tbl_Jobs[[#This Row],[Customer_ID]]="","",_xlfn.XLOOKUP(tbl_Jobs[[#This Row],[Customer_ID]],tbl_Customers[Customer_ID],tbl_Customers[Standard_Rate],0))</f>
        <v/>
      </c>
      <c r="N125" s="1"/>
      <c r="O125" s="1"/>
      <c r="P125" s="1"/>
    </row>
    <row r="126" spans="1:16" ht="14.45" customHeight="1" x14ac:dyDescent="0.45">
      <c r="A126" s="1"/>
      <c r="B126" s="7"/>
      <c r="C126" s="20"/>
      <c r="D126" s="7"/>
      <c r="E126" s="9" t="str">
        <f>IF(tbl_Jobs[[#This Row],[Customer_ID]]="","",_xlfn.XLOOKUP(tbl_Jobs[[#This Row],[Customer_ID]],tbl_Customers[Customer_ID],tbl_Customers[Customer_Name],"Not matched"))</f>
        <v/>
      </c>
      <c r="F126" s="9" t="str">
        <f>IF(tbl_Jobs[[#This Row],[Customer_ID]]="","",_xlfn.XLOOKUP(tbl_Jobs[[#This Row],[Customer_ID]],tbl_Customers[Customer_ID],tbl_Customers[Service_Address],"Not matched"))</f>
        <v/>
      </c>
      <c r="G126" s="9" t="str">
        <f>IF(tbl_Jobs[[#This Row],[Customer_ID]]="","",_xlfn.XLOOKUP(tbl_Jobs[[#This Row],[Customer_ID]],tbl_Customers[Customer_ID],tbl_Customers[Default_Service],"Not matched"))</f>
        <v/>
      </c>
      <c r="H126" s="9" t="str">
        <f>IF(tbl_Jobs[[#This Row],[Customer_ID]]="","",_xlfn.XLOOKUP(tbl_Jobs[[#This Row],[Customer_ID]],tbl_Customers[Customer_ID],tbl_Customers[Special_Notes],""))</f>
        <v/>
      </c>
      <c r="I126" s="7"/>
      <c r="J126" s="7"/>
      <c r="K126" s="10"/>
      <c r="L126" s="7"/>
      <c r="M126" s="8" t="str">
        <f>IF(tbl_Jobs[[#This Row],[Customer_ID]]="","",_xlfn.XLOOKUP(tbl_Jobs[[#This Row],[Customer_ID]],tbl_Customers[Customer_ID],tbl_Customers[Standard_Rate],0))</f>
        <v/>
      </c>
      <c r="N126" s="1"/>
      <c r="O126" s="1"/>
      <c r="P126" s="1"/>
    </row>
    <row r="127" spans="1:16" ht="14.45" customHeight="1" x14ac:dyDescent="0.45">
      <c r="A127" s="1"/>
      <c r="B127" s="7"/>
      <c r="C127" s="20"/>
      <c r="D127" s="7"/>
      <c r="E127" s="11" t="str">
        <f>IF(tbl_Jobs[[#This Row],[Customer_ID]]="","",_xlfn.XLOOKUP(tbl_Jobs[[#This Row],[Customer_ID]],tbl_Customers[Customer_ID],tbl_Customers[Customer_Name],"Not matched"))</f>
        <v/>
      </c>
      <c r="F127" s="11" t="str">
        <f>IF(tbl_Jobs[[#This Row],[Customer_ID]]="","",_xlfn.XLOOKUP(tbl_Jobs[[#This Row],[Customer_ID]],tbl_Customers[Customer_ID],tbl_Customers[Service_Address],"Not matched"))</f>
        <v/>
      </c>
      <c r="G127" s="11" t="str">
        <f>IF(tbl_Jobs[[#This Row],[Customer_ID]]="","",_xlfn.XLOOKUP(tbl_Jobs[[#This Row],[Customer_ID]],tbl_Customers[Customer_ID],tbl_Customers[Default_Service],"Not matched"))</f>
        <v/>
      </c>
      <c r="H127" s="11" t="str">
        <f>IF(tbl_Jobs[[#This Row],[Customer_ID]]="","",_xlfn.XLOOKUP(tbl_Jobs[[#This Row],[Customer_ID]],tbl_Customers[Customer_ID],tbl_Customers[Special_Notes],""))</f>
        <v/>
      </c>
      <c r="I127" s="7"/>
      <c r="J127" s="7"/>
      <c r="K127" s="10"/>
      <c r="L127" s="7"/>
      <c r="M127" s="8" t="str">
        <f>IF(tbl_Jobs[[#This Row],[Customer_ID]]="","",_xlfn.XLOOKUP(tbl_Jobs[[#This Row],[Customer_ID]],tbl_Customers[Customer_ID],tbl_Customers[Standard_Rate],0))</f>
        <v/>
      </c>
      <c r="N127" s="1"/>
      <c r="O127" s="1"/>
      <c r="P127" s="1"/>
    </row>
    <row r="128" spans="1:16" ht="14.4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4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4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4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4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4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4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4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4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4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4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4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4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4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4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4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4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4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4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4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4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4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4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4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4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4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4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4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4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4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4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4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4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4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4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4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4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4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4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4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4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4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4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4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4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4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4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4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4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4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4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4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4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4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4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4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4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4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4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4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4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4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4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4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4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4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4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4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4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4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4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4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4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4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4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4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4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4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4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4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4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4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4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4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4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4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4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4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4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4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4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4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4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</sheetData>
  <mergeCells count="1">
    <mergeCell ref="B2:J3"/>
  </mergeCells>
  <conditionalFormatting sqref="J8:J127">
    <cfRule type="expression" dxfId="11" priority="1">
      <formula>ISNUMBER(SEARCH("Completed",J8))</formula>
    </cfRule>
    <cfRule type="expression" dxfId="10" priority="2">
      <formula>ISNUMBER(SEARCH("Skipped/Exception",J8))</formula>
    </cfRule>
    <cfRule type="expression" dxfId="9" priority="3">
      <formula>ISNUMBER(SEARCH("Pending",J8))</formula>
    </cfRule>
  </conditionalFormatting>
  <dataValidations count="3">
    <dataValidation type="list" allowBlank="1" sqref="D8:D127" xr:uid="{00000000-0002-0000-0200-000000000000}">
      <formula1>lst_Customer_ID</formula1>
    </dataValidation>
    <dataValidation type="list" allowBlank="1" sqref="I8:I127" xr:uid="{00000000-0002-0000-0200-000001000000}">
      <formula1>lst_Team_Member</formula1>
    </dataValidation>
    <dataValidation type="list" allowBlank="1" sqref="J8:J127" xr:uid="{00000000-0002-0000-0200-000002000000}">
      <formula1>lst_Job_Status</formula1>
    </dataValidation>
  </dataValidations>
  <hyperlinks>
    <hyperlink ref="B1" location="START_HERE!B2" display="Start Here" xr:uid="{00000000-0004-0000-0200-000000000000}"/>
    <hyperlink ref="E1" location="Customer_Master!B2" display="Customer Master" xr:uid="{00000000-0004-0000-0200-000001000000}"/>
    <hyperlink ref="H1" location="Job_Execution!B2" display="Job Execution" xr:uid="{00000000-0004-0000-0200-000002000000}"/>
    <hyperlink ref="K1" location="Today_Dashboard!B2" display="Today Dashboard" xr:uid="{00000000-0004-0000-0200-000003000000}"/>
  </hyperlink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51FF"/>
  </sheetPr>
  <dimension ref="A1:P220"/>
  <sheetViews>
    <sheetView showGridLines="0" tabSelected="1" workbookViewId="0">
      <pane xSplit="1" ySplit="4" topLeftCell="B10" activePane="bottomRight" state="frozen"/>
      <selection pane="topRight"/>
      <selection pane="bottomLeft"/>
      <selection pane="bottomRight" activeCell="G17" sqref="G17:G35"/>
    </sheetView>
  </sheetViews>
  <sheetFormatPr defaultRowHeight="14.25" x14ac:dyDescent="0.45"/>
  <cols>
    <col min="1" max="1" width="2" customWidth="1"/>
    <col min="2" max="2" width="29" bestFit="1" customWidth="1"/>
    <col min="3" max="3" width="18.59765625" bestFit="1" customWidth="1"/>
    <col min="4" max="4" width="13.1328125" bestFit="1" customWidth="1"/>
    <col min="5" max="5" width="18.19921875" bestFit="1" customWidth="1"/>
    <col min="6" max="6" width="17.796875" bestFit="1" customWidth="1"/>
    <col min="7" max="7" width="30.46484375" bestFit="1" customWidth="1"/>
    <col min="8" max="8" width="4" customWidth="1"/>
    <col min="9" max="13" width="22" customWidth="1"/>
  </cols>
  <sheetData>
    <row r="1" spans="1:16" ht="24" customHeight="1" x14ac:dyDescent="0.45">
      <c r="A1" s="1"/>
      <c r="B1" s="4" t="s">
        <v>0</v>
      </c>
      <c r="C1" s="3"/>
      <c r="D1" s="3"/>
      <c r="E1" s="4" t="s">
        <v>1</v>
      </c>
      <c r="F1" s="3"/>
      <c r="G1" s="3"/>
      <c r="H1" s="4" t="s">
        <v>2</v>
      </c>
      <c r="I1" s="3"/>
      <c r="J1" s="3"/>
      <c r="K1" s="2" t="s">
        <v>3</v>
      </c>
      <c r="L1" s="3"/>
      <c r="M1" s="3"/>
      <c r="N1" s="1"/>
      <c r="O1" s="1"/>
      <c r="P1" s="1"/>
    </row>
    <row r="2" spans="1:16" ht="24" customHeight="1" x14ac:dyDescent="0.45">
      <c r="A2" s="1"/>
      <c r="B2" s="16" t="s">
        <v>3</v>
      </c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</row>
    <row r="3" spans="1:16" ht="24" customHeight="1" x14ac:dyDescent="0.45">
      <c r="A3" s="1"/>
      <c r="B3" s="17"/>
      <c r="C3" s="17"/>
      <c r="D3" s="17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</row>
    <row r="4" spans="1:16" ht="14.4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45" customHeight="1" x14ac:dyDescent="0.45">
      <c r="A5" s="1"/>
      <c r="B5" s="5" t="s">
        <v>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4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45" customHeight="1" x14ac:dyDescent="0.45">
      <c r="A7" s="1"/>
      <c r="B7" s="12" t="s">
        <v>97</v>
      </c>
      <c r="C7" s="13">
        <f ca="1">COUNTIF(tbl_Jobs[Job_Date],TODAY())</f>
        <v>4</v>
      </c>
      <c r="D7" s="1"/>
      <c r="E7" s="18" t="s">
        <v>98</v>
      </c>
      <c r="F7" s="19"/>
      <c r="G7" s="19"/>
      <c r="H7" s="19"/>
      <c r="I7" s="19"/>
      <c r="J7" s="19"/>
      <c r="K7" s="1"/>
      <c r="L7" s="1"/>
      <c r="M7" s="1"/>
      <c r="N7" s="1"/>
      <c r="O7" s="1"/>
      <c r="P7" s="1"/>
    </row>
    <row r="8" spans="1:16" ht="14.45" customHeight="1" x14ac:dyDescent="0.45">
      <c r="A8" s="1"/>
      <c r="B8" s="12" t="s">
        <v>99</v>
      </c>
      <c r="C8" s="13">
        <f ca="1">COUNTIFS(tbl_Jobs[Job_Date],TODAY(),tbl_Jobs[Job_Status],"Completed")</f>
        <v>1</v>
      </c>
      <c r="D8" s="1"/>
      <c r="E8" s="19"/>
      <c r="F8" s="19"/>
      <c r="G8" s="19"/>
      <c r="H8" s="19"/>
      <c r="I8" s="19"/>
      <c r="J8" s="19"/>
      <c r="K8" s="1"/>
      <c r="L8" s="1"/>
      <c r="M8" s="1"/>
      <c r="N8" s="1"/>
      <c r="O8" s="1"/>
      <c r="P8" s="1"/>
    </row>
    <row r="9" spans="1:16" ht="14.45" customHeight="1" x14ac:dyDescent="0.45">
      <c r="A9" s="1"/>
      <c r="B9" s="12" t="s">
        <v>100</v>
      </c>
      <c r="C9" s="13">
        <f ca="1">COUNTIFS(tbl_Jobs[Job_Date],TODAY(),tbl_Jobs[Job_Status],"Skipped/Exception")</f>
        <v>1</v>
      </c>
      <c r="D9" s="1"/>
      <c r="E9" s="19"/>
      <c r="F9" s="19"/>
      <c r="G9" s="19"/>
      <c r="H9" s="19"/>
      <c r="I9" s="19"/>
      <c r="J9" s="19"/>
      <c r="K9" s="1"/>
      <c r="L9" s="1"/>
      <c r="M9" s="1"/>
      <c r="N9" s="1"/>
      <c r="O9" s="1"/>
      <c r="P9" s="1"/>
    </row>
    <row r="10" spans="1:16" ht="14.45" customHeight="1" x14ac:dyDescent="0.45">
      <c r="A10" s="1"/>
      <c r="B10" s="12" t="s">
        <v>101</v>
      </c>
      <c r="C10" s="14">
        <f ca="1">IF(C7=0,0,C8/C7)</f>
        <v>0.25</v>
      </c>
      <c r="D10" s="1"/>
      <c r="E10" s="19"/>
      <c r="F10" s="19"/>
      <c r="G10" s="19"/>
      <c r="H10" s="19"/>
      <c r="I10" s="19"/>
      <c r="J10" s="19"/>
      <c r="K10" s="1"/>
      <c r="L10" s="1"/>
      <c r="M10" s="1"/>
      <c r="N10" s="1"/>
      <c r="O10" s="1"/>
      <c r="P10" s="1"/>
    </row>
    <row r="11" spans="1:16" ht="14.45" customHeight="1" x14ac:dyDescent="0.45">
      <c r="A11" s="1"/>
      <c r="B11" s="12" t="s">
        <v>102</v>
      </c>
      <c r="C11" s="15">
        <f ca="1">SUMIF(tbl_Jobs[Job_Date],TODAY(),tbl_Jobs[Amount_Collected])</f>
        <v>385</v>
      </c>
      <c r="D11" s="1"/>
      <c r="E11" s="19"/>
      <c r="F11" s="19"/>
      <c r="G11" s="19"/>
      <c r="H11" s="19"/>
      <c r="I11" s="19"/>
      <c r="J11" s="19"/>
      <c r="K11" s="1"/>
      <c r="L11" s="1"/>
      <c r="M11" s="1"/>
      <c r="N11" s="1"/>
      <c r="O11" s="1"/>
      <c r="P11" s="1"/>
    </row>
    <row r="12" spans="1:16" ht="14.4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4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45" customHeight="1" x14ac:dyDescent="0.45">
      <c r="A14" s="1"/>
      <c r="B14" s="5" t="s">
        <v>103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4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6" customHeight="1" x14ac:dyDescent="0.45">
      <c r="A16" s="1"/>
      <c r="B16" s="6" t="s">
        <v>29</v>
      </c>
      <c r="C16" s="6" t="s">
        <v>30</v>
      </c>
      <c r="D16" s="6" t="s">
        <v>78</v>
      </c>
      <c r="E16" s="6" t="s">
        <v>79</v>
      </c>
      <c r="F16" s="6" t="s">
        <v>80</v>
      </c>
      <c r="G16" s="6" t="s">
        <v>81</v>
      </c>
      <c r="H16" s="1"/>
      <c r="I16" s="18" t="s">
        <v>104</v>
      </c>
      <c r="J16" s="19"/>
      <c r="K16" s="19"/>
      <c r="L16" s="19"/>
      <c r="M16" s="19"/>
      <c r="N16" s="1"/>
      <c r="O16" s="1"/>
      <c r="P16" s="1"/>
    </row>
    <row r="17" spans="1:16" ht="14.45" customHeight="1" x14ac:dyDescent="0.45">
      <c r="A17" s="1"/>
      <c r="B17" s="11" t="str" cm="1">
        <f t="array" aca="1" ref="B17:G20" ca="1">_xlfn._xlws.FILTER(_xlfn.HSTACK(tbl_Jobs[Customer_Name],tbl_Jobs[Service_Address],tbl_Jobs[Assigned_To],tbl_Jobs[Job_Status],tbl_Jobs[Completion_Time],tbl_Jobs[Field_Notes_Exception]),tbl_Jobs[Job_Date]=TODAY(),"No jobs scheduled today")</f>
        <v>Mr. Smith</v>
      </c>
      <c r="C17" s="11" t="str">
        <f ca="1"/>
        <v>128 Oak Ridge Lane</v>
      </c>
      <c r="D17" s="11" t="str">
        <f ca="1"/>
        <v>Employee A</v>
      </c>
      <c r="E17" s="11" t="str">
        <f ca="1"/>
        <v>Completed</v>
      </c>
      <c r="F17" s="21">
        <f ca="1"/>
        <v>0.40625</v>
      </c>
      <c r="G17" s="23" t="str">
        <f ca="1"/>
        <v>Front and back completed.</v>
      </c>
      <c r="H17" s="1"/>
      <c r="I17" s="19"/>
      <c r="J17" s="19"/>
      <c r="K17" s="19"/>
      <c r="L17" s="19"/>
      <c r="M17" s="19"/>
      <c r="N17" s="1"/>
      <c r="O17" s="1"/>
      <c r="P17" s="1"/>
    </row>
    <row r="18" spans="1:16" ht="14.45" customHeight="1" x14ac:dyDescent="0.45">
      <c r="A18" s="1"/>
      <c r="B18" s="9" t="str">
        <f ca="1"/>
        <v>Ms. Johnson</v>
      </c>
      <c r="C18" s="9" t="str">
        <f ca="1"/>
        <v>44 Maple Court</v>
      </c>
      <c r="D18" s="9" t="str">
        <f ca="1"/>
        <v>Employee B</v>
      </c>
      <c r="E18" s="9" t="str">
        <f ca="1"/>
        <v>In Service</v>
      </c>
      <c r="F18" s="22">
        <f ca="1"/>
        <v>0</v>
      </c>
      <c r="G18" s="24">
        <f ca="1"/>
        <v>0</v>
      </c>
      <c r="H18" s="1"/>
      <c r="I18" s="19"/>
      <c r="J18" s="19"/>
      <c r="K18" s="19"/>
      <c r="L18" s="19"/>
      <c r="M18" s="19"/>
      <c r="N18" s="1"/>
      <c r="O18" s="1"/>
      <c r="P18" s="1"/>
    </row>
    <row r="19" spans="1:16" ht="14.45" customHeight="1" x14ac:dyDescent="0.45">
      <c r="A19" s="1"/>
      <c r="B19" s="11" t="str">
        <f ca="1"/>
        <v>Greenfield HOA</v>
      </c>
      <c r="C19" s="11" t="str">
        <f ca="1"/>
        <v>900 Greenfield Drive</v>
      </c>
      <c r="D19" s="11" t="str">
        <f ca="1"/>
        <v>Owner</v>
      </c>
      <c r="E19" s="11" t="str">
        <f ca="1"/>
        <v>Pending</v>
      </c>
      <c r="F19" s="21">
        <f ca="1"/>
        <v>0</v>
      </c>
      <c r="G19" s="23">
        <f ca="1"/>
        <v>0</v>
      </c>
      <c r="H19" s="1"/>
      <c r="I19" s="19"/>
      <c r="J19" s="19"/>
      <c r="K19" s="19"/>
      <c r="L19" s="19"/>
      <c r="M19" s="19"/>
      <c r="N19" s="1"/>
      <c r="O19" s="1"/>
      <c r="P19" s="1"/>
    </row>
    <row r="20" spans="1:16" ht="14.45" customHeight="1" x14ac:dyDescent="0.45">
      <c r="A20" s="1"/>
      <c r="B20" s="9" t="str">
        <f ca="1"/>
        <v>Mr. Garcia</v>
      </c>
      <c r="C20" s="9" t="str">
        <f ca="1"/>
        <v>72 Pine Street</v>
      </c>
      <c r="D20" s="9" t="str">
        <f ca="1"/>
        <v>Employee A</v>
      </c>
      <c r="E20" s="9" t="str">
        <f ca="1"/>
        <v>Skipped/Exception</v>
      </c>
      <c r="F20" s="22">
        <f ca="1"/>
        <v>0</v>
      </c>
      <c r="G20" s="24" t="str">
        <f ca="1"/>
        <v>Gate locked; reschedule required.</v>
      </c>
      <c r="H20" s="1"/>
      <c r="I20" s="19"/>
      <c r="J20" s="19"/>
      <c r="K20" s="19"/>
      <c r="L20" s="19"/>
      <c r="M20" s="19"/>
      <c r="N20" s="1"/>
      <c r="O20" s="1"/>
      <c r="P20" s="1"/>
    </row>
    <row r="21" spans="1:16" ht="14.45" customHeight="1" x14ac:dyDescent="0.45">
      <c r="A21" s="1"/>
      <c r="B21" s="11"/>
      <c r="C21" s="11"/>
      <c r="D21" s="11"/>
      <c r="E21" s="11"/>
      <c r="F21" s="21"/>
      <c r="G21" s="23"/>
      <c r="H21" s="1"/>
      <c r="I21" s="19"/>
      <c r="J21" s="19"/>
      <c r="K21" s="19"/>
      <c r="L21" s="19"/>
      <c r="M21" s="19"/>
      <c r="N21" s="1"/>
      <c r="O21" s="1"/>
      <c r="P21" s="1"/>
    </row>
    <row r="22" spans="1:16" ht="14.45" customHeight="1" x14ac:dyDescent="0.45">
      <c r="A22" s="1"/>
      <c r="B22" s="9"/>
      <c r="C22" s="9"/>
      <c r="D22" s="9"/>
      <c r="E22" s="9"/>
      <c r="F22" s="22"/>
      <c r="G22" s="24"/>
      <c r="H22" s="1"/>
      <c r="I22" s="19"/>
      <c r="J22" s="19"/>
      <c r="K22" s="19"/>
      <c r="L22" s="19"/>
      <c r="M22" s="19"/>
      <c r="N22" s="1"/>
      <c r="O22" s="1"/>
      <c r="P22" s="1"/>
    </row>
    <row r="23" spans="1:16" ht="14.45" customHeight="1" x14ac:dyDescent="0.45">
      <c r="A23" s="1"/>
      <c r="B23" s="11"/>
      <c r="C23" s="11"/>
      <c r="D23" s="11"/>
      <c r="E23" s="11"/>
      <c r="F23" s="21"/>
      <c r="G23" s="23"/>
      <c r="H23" s="1"/>
      <c r="I23" s="19"/>
      <c r="J23" s="19"/>
      <c r="K23" s="19"/>
      <c r="L23" s="19"/>
      <c r="M23" s="19"/>
      <c r="N23" s="1"/>
      <c r="O23" s="1"/>
      <c r="P23" s="1"/>
    </row>
    <row r="24" spans="1:16" ht="14.45" customHeight="1" x14ac:dyDescent="0.45">
      <c r="A24" s="1"/>
      <c r="B24" s="9"/>
      <c r="C24" s="9"/>
      <c r="D24" s="9"/>
      <c r="E24" s="9"/>
      <c r="F24" s="22"/>
      <c r="G24" s="24"/>
      <c r="H24" s="1"/>
      <c r="I24" s="19"/>
      <c r="J24" s="19"/>
      <c r="K24" s="19"/>
      <c r="L24" s="19"/>
      <c r="M24" s="19"/>
      <c r="N24" s="1"/>
      <c r="O24" s="1"/>
      <c r="P24" s="1"/>
    </row>
    <row r="25" spans="1:16" ht="14.45" customHeight="1" x14ac:dyDescent="0.45">
      <c r="A25" s="1"/>
      <c r="B25" s="11"/>
      <c r="C25" s="11"/>
      <c r="D25" s="11"/>
      <c r="E25" s="11"/>
      <c r="F25" s="21"/>
      <c r="G25" s="23"/>
      <c r="H25" s="1"/>
      <c r="I25" s="19"/>
      <c r="J25" s="19"/>
      <c r="K25" s="19"/>
      <c r="L25" s="19"/>
      <c r="M25" s="19"/>
      <c r="N25" s="1"/>
      <c r="O25" s="1"/>
      <c r="P25" s="1"/>
    </row>
    <row r="26" spans="1:16" ht="14.45" customHeight="1" x14ac:dyDescent="0.45">
      <c r="A26" s="1"/>
      <c r="B26" s="9"/>
      <c r="C26" s="9"/>
      <c r="D26" s="9"/>
      <c r="E26" s="9"/>
      <c r="F26" s="22"/>
      <c r="G26" s="24"/>
      <c r="H26" s="1"/>
      <c r="I26" s="19"/>
      <c r="J26" s="19"/>
      <c r="K26" s="19"/>
      <c r="L26" s="19"/>
      <c r="M26" s="19"/>
      <c r="N26" s="1"/>
      <c r="O26" s="1"/>
      <c r="P26" s="1"/>
    </row>
    <row r="27" spans="1:16" ht="14.45" customHeight="1" x14ac:dyDescent="0.45">
      <c r="A27" s="1"/>
      <c r="B27" s="11"/>
      <c r="C27" s="11"/>
      <c r="D27" s="11"/>
      <c r="E27" s="11"/>
      <c r="F27" s="21"/>
      <c r="G27" s="23"/>
      <c r="H27" s="1"/>
      <c r="I27" s="19"/>
      <c r="J27" s="19"/>
      <c r="K27" s="19"/>
      <c r="L27" s="19"/>
      <c r="M27" s="19"/>
      <c r="N27" s="1"/>
      <c r="O27" s="1"/>
      <c r="P27" s="1"/>
    </row>
    <row r="28" spans="1:16" ht="14.45" customHeight="1" x14ac:dyDescent="0.45">
      <c r="A28" s="1"/>
      <c r="B28" s="9"/>
      <c r="C28" s="9"/>
      <c r="D28" s="9"/>
      <c r="E28" s="9"/>
      <c r="F28" s="22"/>
      <c r="G28" s="24"/>
      <c r="H28" s="1"/>
      <c r="I28" s="19"/>
      <c r="J28" s="19"/>
      <c r="K28" s="19"/>
      <c r="L28" s="19"/>
      <c r="M28" s="19"/>
      <c r="N28" s="1"/>
      <c r="O28" s="1"/>
      <c r="P28" s="1"/>
    </row>
    <row r="29" spans="1:16" ht="14.45" customHeight="1" x14ac:dyDescent="0.45">
      <c r="A29" s="1"/>
      <c r="B29" s="11"/>
      <c r="C29" s="11"/>
      <c r="D29" s="11"/>
      <c r="E29" s="11"/>
      <c r="F29" s="21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ht="14.45" customHeight="1" x14ac:dyDescent="0.45">
      <c r="A30" s="1"/>
      <c r="B30" s="9"/>
      <c r="C30" s="9"/>
      <c r="D30" s="9"/>
      <c r="E30" s="9"/>
      <c r="F30" s="22"/>
      <c r="G30" s="24"/>
      <c r="H30" s="1"/>
      <c r="I30" s="1"/>
      <c r="J30" s="1"/>
      <c r="K30" s="1"/>
      <c r="L30" s="1"/>
      <c r="M30" s="1"/>
      <c r="N30" s="1"/>
      <c r="O30" s="1"/>
      <c r="P30" s="1"/>
    </row>
    <row r="31" spans="1:16" ht="14.45" customHeight="1" x14ac:dyDescent="0.45">
      <c r="A31" s="1"/>
      <c r="B31" s="11"/>
      <c r="C31" s="11"/>
      <c r="D31" s="11"/>
      <c r="E31" s="11"/>
      <c r="F31" s="21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ht="14.45" customHeight="1" x14ac:dyDescent="0.45">
      <c r="A32" s="1"/>
      <c r="B32" s="9"/>
      <c r="C32" s="9"/>
      <c r="D32" s="9"/>
      <c r="E32" s="9"/>
      <c r="F32" s="22"/>
      <c r="G32" s="24"/>
      <c r="H32" s="1"/>
      <c r="I32" s="1"/>
      <c r="J32" s="1"/>
      <c r="K32" s="1"/>
      <c r="L32" s="1"/>
      <c r="M32" s="1"/>
      <c r="N32" s="1"/>
      <c r="O32" s="1"/>
      <c r="P32" s="1"/>
    </row>
    <row r="33" spans="1:16" ht="14.45" customHeight="1" x14ac:dyDescent="0.45">
      <c r="A33" s="1"/>
      <c r="B33" s="11"/>
      <c r="C33" s="11"/>
      <c r="D33" s="11"/>
      <c r="E33" s="11"/>
      <c r="F33" s="21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ht="14.45" customHeight="1" x14ac:dyDescent="0.45">
      <c r="A34" s="1"/>
      <c r="B34" s="9"/>
      <c r="C34" s="9"/>
      <c r="D34" s="9"/>
      <c r="E34" s="9"/>
      <c r="F34" s="22"/>
      <c r="G34" s="24"/>
      <c r="H34" s="1"/>
      <c r="I34" s="1"/>
      <c r="J34" s="1"/>
      <c r="K34" s="1"/>
      <c r="L34" s="1"/>
      <c r="M34" s="1"/>
      <c r="N34" s="1"/>
      <c r="O34" s="1"/>
      <c r="P34" s="1"/>
    </row>
    <row r="35" spans="1:16" ht="14.45" customHeight="1" x14ac:dyDescent="0.45">
      <c r="A35" s="1"/>
      <c r="B35" s="11"/>
      <c r="C35" s="11"/>
      <c r="D35" s="11"/>
      <c r="E35" s="11"/>
      <c r="F35" s="21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ht="14.45" customHeight="1" x14ac:dyDescent="0.45">
      <c r="A36" s="1"/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</row>
    <row r="37" spans="1:16" ht="14.4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4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4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4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4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4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4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4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4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4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4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4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4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4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4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4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4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4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4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4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4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4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4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4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4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4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4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4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4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4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4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4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4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4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4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4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4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4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4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4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4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4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4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4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4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4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4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4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4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4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4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4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4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4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4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4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4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4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4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4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4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4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4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4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4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4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4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4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4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4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4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4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4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4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4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4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4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4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4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4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4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4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4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4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4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4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4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4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4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4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4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4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4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4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4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4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4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4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4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4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4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4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4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4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4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4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4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4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4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4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4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4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4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4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4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4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4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4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4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4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4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4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4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4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4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4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4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4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4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4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4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4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4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4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4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4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4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4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4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4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4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4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4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4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4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4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4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4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4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4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4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4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4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4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4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4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4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4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4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4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4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4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4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4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4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4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4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4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4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4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4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4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4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4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4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4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4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4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4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4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4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4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4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4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</sheetData>
  <mergeCells count="3">
    <mergeCell ref="B2:J3"/>
    <mergeCell ref="E7:J11"/>
    <mergeCell ref="I16:M28"/>
  </mergeCells>
  <conditionalFormatting sqref="E17:E80">
    <cfRule type="expression" dxfId="8" priority="1">
      <formula>ISNUMBER(SEARCH("Completed",E17))</formula>
    </cfRule>
    <cfRule type="expression" dxfId="7" priority="2">
      <formula>ISNUMBER(SEARCH("Skipped/Exception",E17))</formula>
    </cfRule>
    <cfRule type="expression" dxfId="6" priority="3">
      <formula>ISNUMBER(SEARCH("Pending",E17))</formula>
    </cfRule>
  </conditionalFormatting>
  <hyperlinks>
    <hyperlink ref="B1" location="START_HERE!B2" display="Start Here" xr:uid="{00000000-0004-0000-0300-000000000000}"/>
    <hyperlink ref="E1" location="Customer_Master!B2" display="Customer Master" xr:uid="{00000000-0004-0000-0300-000001000000}"/>
    <hyperlink ref="H1" location="Job_Execution!B2" display="Job Execution" xr:uid="{00000000-0004-0000-0300-000002000000}"/>
    <hyperlink ref="K1" location="Today_Dashboard!B2" display="Today Dashboard" xr:uid="{00000000-0004-0000-0300-000003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" customWidth="1"/>
  </cols>
  <sheetData>
    <row r="1" spans="1:16" ht="24" customHeight="1" x14ac:dyDescent="0.45">
      <c r="A1" s="1"/>
      <c r="B1" s="4" t="s">
        <v>0</v>
      </c>
      <c r="C1" s="3"/>
      <c r="D1" s="3"/>
      <c r="E1" s="4" t="s">
        <v>1</v>
      </c>
      <c r="F1" s="3"/>
      <c r="G1" s="3"/>
      <c r="H1" s="4" t="s">
        <v>2</v>
      </c>
      <c r="I1" s="3"/>
      <c r="J1" s="3"/>
      <c r="K1" s="4" t="s">
        <v>3</v>
      </c>
      <c r="L1" s="3"/>
      <c r="M1" s="3"/>
      <c r="N1" s="1"/>
      <c r="O1" s="1"/>
      <c r="P1" s="1"/>
    </row>
    <row r="2" spans="1:16" ht="24" customHeight="1" x14ac:dyDescent="0.45">
      <c r="A2" s="1"/>
      <c r="B2" s="16" t="s">
        <v>105</v>
      </c>
      <c r="C2" s="17"/>
      <c r="D2" s="17"/>
      <c r="E2" s="17"/>
      <c r="F2" s="17"/>
      <c r="G2" s="17"/>
      <c r="H2" s="17"/>
      <c r="I2" s="1"/>
      <c r="J2" s="1"/>
      <c r="K2" s="1"/>
      <c r="L2" s="1"/>
      <c r="M2" s="1"/>
      <c r="N2" s="1"/>
      <c r="O2" s="1"/>
      <c r="P2" s="1"/>
    </row>
    <row r="3" spans="1:16" ht="24" customHeight="1" x14ac:dyDescent="0.45">
      <c r="A3" s="1"/>
      <c r="B3" s="17"/>
      <c r="C3" s="17"/>
      <c r="D3" s="17"/>
      <c r="E3" s="17"/>
      <c r="F3" s="17"/>
      <c r="G3" s="17"/>
      <c r="H3" s="17"/>
      <c r="I3" s="1"/>
      <c r="J3" s="1"/>
      <c r="K3" s="1"/>
      <c r="L3" s="1"/>
      <c r="M3" s="1"/>
      <c r="N3" s="1"/>
      <c r="O3" s="1"/>
      <c r="P3" s="1"/>
    </row>
    <row r="4" spans="1:16" ht="14.4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6" customHeight="1" x14ac:dyDescent="0.45">
      <c r="A5" s="1"/>
      <c r="B5" s="6" t="s">
        <v>106</v>
      </c>
      <c r="C5" s="1"/>
      <c r="D5" s="6" t="s">
        <v>36</v>
      </c>
      <c r="E5" s="1"/>
      <c r="F5" s="6" t="s">
        <v>107</v>
      </c>
      <c r="G5" s="1"/>
      <c r="H5" s="6" t="s">
        <v>79</v>
      </c>
      <c r="I5" s="1"/>
      <c r="J5" s="1"/>
      <c r="K5" s="1"/>
      <c r="L5" s="1"/>
      <c r="M5" s="1"/>
      <c r="N5" s="1"/>
      <c r="O5" s="1"/>
      <c r="P5" s="1"/>
    </row>
    <row r="6" spans="1:16" ht="14.45" customHeight="1" x14ac:dyDescent="0.45">
      <c r="A6" s="1"/>
      <c r="B6" s="9" t="s">
        <v>41</v>
      </c>
      <c r="C6" s="1"/>
      <c r="D6" s="9" t="s">
        <v>44</v>
      </c>
      <c r="E6" s="1"/>
      <c r="F6" s="9" t="s">
        <v>84</v>
      </c>
      <c r="G6" s="1"/>
      <c r="H6" s="9" t="s">
        <v>92</v>
      </c>
      <c r="I6" s="1"/>
      <c r="J6" s="1"/>
      <c r="K6" s="1"/>
      <c r="L6" s="1"/>
      <c r="M6" s="1"/>
      <c r="N6" s="1"/>
      <c r="O6" s="1"/>
      <c r="P6" s="1"/>
    </row>
    <row r="7" spans="1:16" ht="14.45" customHeight="1" x14ac:dyDescent="0.45">
      <c r="A7" s="1"/>
      <c r="B7" s="11" t="s">
        <v>49</v>
      </c>
      <c r="C7" s="1"/>
      <c r="D7" s="11" t="s">
        <v>72</v>
      </c>
      <c r="E7" s="1"/>
      <c r="F7" s="11" t="s">
        <v>88</v>
      </c>
      <c r="G7" s="1"/>
      <c r="H7" s="11" t="s">
        <v>89</v>
      </c>
      <c r="I7" s="1"/>
      <c r="J7" s="1"/>
      <c r="K7" s="1"/>
      <c r="L7" s="1"/>
      <c r="M7" s="1"/>
      <c r="N7" s="1"/>
      <c r="O7" s="1"/>
      <c r="P7" s="1"/>
    </row>
    <row r="8" spans="1:16" ht="14.45" customHeight="1" x14ac:dyDescent="0.45">
      <c r="A8" s="1"/>
      <c r="B8" s="9" t="s">
        <v>62</v>
      </c>
      <c r="C8" s="1"/>
      <c r="D8" s="1"/>
      <c r="E8" s="1"/>
      <c r="F8" s="9" t="s">
        <v>91</v>
      </c>
      <c r="G8" s="1"/>
      <c r="H8" s="9" t="s">
        <v>85</v>
      </c>
      <c r="I8" s="1"/>
      <c r="J8" s="1"/>
      <c r="K8" s="1"/>
      <c r="L8" s="1"/>
      <c r="M8" s="1"/>
      <c r="N8" s="1"/>
      <c r="O8" s="1"/>
      <c r="P8" s="1"/>
    </row>
    <row r="9" spans="1:16" ht="14.45" customHeight="1" x14ac:dyDescent="0.45">
      <c r="A9" s="1"/>
      <c r="B9" s="11" t="s">
        <v>69</v>
      </c>
      <c r="C9" s="1"/>
      <c r="D9" s="1"/>
      <c r="E9" s="1"/>
      <c r="F9" s="1"/>
      <c r="G9" s="1"/>
      <c r="H9" s="11" t="s">
        <v>94</v>
      </c>
      <c r="I9" s="1"/>
      <c r="J9" s="1"/>
      <c r="K9" s="1"/>
      <c r="L9" s="1"/>
      <c r="M9" s="1"/>
      <c r="N9" s="1"/>
      <c r="O9" s="1"/>
      <c r="P9" s="1"/>
    </row>
    <row r="10" spans="1:16" ht="14.4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4.4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4.4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4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45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4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4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4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4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4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4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4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4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4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4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4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4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4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4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4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4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4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4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4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4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4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4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4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4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4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4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4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4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4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4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4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4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4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4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4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4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4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4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4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4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4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4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4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4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4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4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4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4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4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4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4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4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4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4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4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4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4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4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4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4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4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4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4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4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4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4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4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4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4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4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4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4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4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4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4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4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4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4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4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4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4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4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4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4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4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4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4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4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4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4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4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4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4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4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4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4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4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4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4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4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4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4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4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4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4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4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4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4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4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4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4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4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4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4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4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4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4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4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4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4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4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4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4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4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4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4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4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4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4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4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4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4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4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4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4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4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4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4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4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4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4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4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4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4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4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4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4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4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4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4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4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4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4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4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4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4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4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4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4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4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4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4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4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4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4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4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4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4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4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4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4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4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4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4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4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4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4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4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4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4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4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4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4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4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4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4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4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4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4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4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4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4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4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4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4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4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4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4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4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4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4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4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4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4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4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</sheetData>
  <mergeCells count="1">
    <mergeCell ref="B2:H3"/>
  </mergeCells>
  <hyperlinks>
    <hyperlink ref="B1" location="START_HERE!B2" display="Start Here" xr:uid="{00000000-0004-0000-0400-000000000000}"/>
    <hyperlink ref="E1" location="Customer_Master!B2" display="Customer Master" xr:uid="{00000000-0004-0000-0400-000001000000}"/>
    <hyperlink ref="H1" location="Job_Execution!B2" display="Job Execution" xr:uid="{00000000-0004-0000-0400-000002000000}"/>
    <hyperlink ref="K1" location="Today_Dashboard!B2" display="Today Dashboard" xr:uid="{00000000-0004-0000-0400-000003000000}"/>
  </hyperlink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START_HERE</vt:lpstr>
      <vt:lpstr>Customer_Master</vt:lpstr>
      <vt:lpstr>Job_Execution</vt:lpstr>
      <vt:lpstr>Today_Dashboard</vt:lpstr>
      <vt:lpstr>SETUP_Dictionary</vt:lpstr>
      <vt:lpstr>lst_Customer_ID</vt:lpstr>
      <vt:lpstr>lst_Frequency</vt:lpstr>
      <vt:lpstr>lst_Job_Status</vt:lpstr>
      <vt:lpstr>lst_Profile_Status</vt:lpstr>
      <vt:lpstr>lst_Team_Member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Alex</cp:lastModifiedBy>
  <dcterms:created xsi:type="dcterms:W3CDTF">2026-06-21T01:45:14Z</dcterms:created>
  <dcterms:modified xsi:type="dcterms:W3CDTF">2026-06-21T02:18:20Z</dcterms:modified>
</cp:coreProperties>
</file>